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QUB\FIN9007\"/>
    </mc:Choice>
  </mc:AlternateContent>
  <xr:revisionPtr revIDLastSave="0" documentId="13_ncr:40009_{22D50980-A535-4565-9D79-55009A490B95}" xr6:coauthVersionLast="47" xr6:coauthVersionMax="47" xr10:uidLastSave="{00000000-0000-0000-0000-000000000000}"/>
  <bookViews>
    <workbookView xWindow="-23172" yWindow="-132" windowWidth="23304" windowHeight="12504" activeTab="1"/>
  </bookViews>
  <sheets>
    <sheet name="Sheet2" sheetId="3" r:id="rId1"/>
    <sheet name="SPYcallIV" sheetId="1" r:id="rId2"/>
    <sheet name="Sheet3" sheetId="4" r:id="rId3"/>
  </sheets>
  <externalReferences>
    <externalReference r:id="rId4"/>
  </externalReferences>
  <calcPr calcId="0"/>
</workbook>
</file>

<file path=xl/calcChain.xml><?xml version="1.0" encoding="utf-8"?>
<calcChain xmlns="http://schemas.openxmlformats.org/spreadsheetml/2006/main">
  <c r="I15" i="4" l="1"/>
  <c r="J15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J3" i="4"/>
  <c r="I3" i="4"/>
</calcChain>
</file>

<file path=xl/sharedStrings.xml><?xml version="1.0" encoding="utf-8"?>
<sst xmlns="http://schemas.openxmlformats.org/spreadsheetml/2006/main" count="96" uniqueCount="15">
  <si>
    <t>TradeDate</t>
  </si>
  <si>
    <t>expiryDate</t>
  </si>
  <si>
    <t>strike</t>
  </si>
  <si>
    <t>price</t>
  </si>
  <si>
    <t>IV</t>
  </si>
  <si>
    <t>Mean</t>
  </si>
  <si>
    <t>Standard Deviation</t>
  </si>
  <si>
    <t>Kurtosis</t>
  </si>
  <si>
    <t>Skewness</t>
  </si>
  <si>
    <t>Minimum</t>
  </si>
  <si>
    <t>Maximum</t>
  </si>
  <si>
    <t>Count</t>
  </si>
  <si>
    <t>Descriptive Statistics of SPYcall IV</t>
  </si>
  <si>
    <t>SD</t>
  </si>
  <si>
    <t>Sample of Tree IV results of selected strikes on 19-06-2020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</si>
</sst>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b/>
      <sz val="9"/>
      <color rgb="FF202122"/>
      <name val="Arial"/>
      <family val="2"/>
    </font>
    <font>
      <sz val="11"/>
      <color theme="1"/>
      <name val="Times New Roman"/>
      <family val="1"/>
    </font>
    <font>
      <i/>
      <sz val="8"/>
      <color rgb="FF9B9B9B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D6000D"/>
      </left>
      <right/>
      <top style="medium">
        <color rgb="FFD6000D"/>
      </top>
      <bottom/>
      <diagonal/>
    </border>
    <border>
      <left/>
      <right/>
      <top style="medium">
        <color rgb="FFD6000D"/>
      </top>
      <bottom/>
      <diagonal/>
    </border>
    <border>
      <left/>
      <right/>
      <top/>
      <bottom style="medium">
        <color rgb="FFD6000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164" fontId="0" fillId="0" borderId="0" xfId="0" applyNumberFormat="1"/>
    <xf numFmtId="0" fontId="20" fillId="0" borderId="0" xfId="0" applyFont="1"/>
    <xf numFmtId="0" fontId="0" fillId="0" borderId="10" xfId="0" applyBorder="1"/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2" fillId="0" borderId="14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SPYcall 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SPYcallIV!$E$1</c:f>
              <c:strCache>
                <c:ptCount val="1"/>
                <c:pt idx="0">
                  <c:v>IV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SPYcallIV!$C$2:$C$161</c:f>
              <c:numCache>
                <c:formatCode>General</c:formatCode>
                <c:ptCount val="16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  <c:pt idx="18">
                  <c:v>115</c:v>
                </c:pt>
                <c:pt idx="19">
                  <c:v>120</c:v>
                </c:pt>
                <c:pt idx="20">
                  <c:v>125</c:v>
                </c:pt>
                <c:pt idx="21">
                  <c:v>130</c:v>
                </c:pt>
                <c:pt idx="22">
                  <c:v>135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155</c:v>
                </c:pt>
                <c:pt idx="27">
                  <c:v>160</c:v>
                </c:pt>
                <c:pt idx="28">
                  <c:v>165</c:v>
                </c:pt>
                <c:pt idx="29">
                  <c:v>170</c:v>
                </c:pt>
                <c:pt idx="30">
                  <c:v>175</c:v>
                </c:pt>
                <c:pt idx="31">
                  <c:v>180</c:v>
                </c:pt>
                <c:pt idx="32">
                  <c:v>185</c:v>
                </c:pt>
                <c:pt idx="33">
                  <c:v>190</c:v>
                </c:pt>
                <c:pt idx="34">
                  <c:v>195</c:v>
                </c:pt>
                <c:pt idx="35">
                  <c:v>200</c:v>
                </c:pt>
                <c:pt idx="36">
                  <c:v>205</c:v>
                </c:pt>
                <c:pt idx="37">
                  <c:v>210</c:v>
                </c:pt>
                <c:pt idx="38">
                  <c:v>215</c:v>
                </c:pt>
                <c:pt idx="39">
                  <c:v>220</c:v>
                </c:pt>
                <c:pt idx="40">
                  <c:v>225</c:v>
                </c:pt>
                <c:pt idx="41">
                  <c:v>230</c:v>
                </c:pt>
                <c:pt idx="42">
                  <c:v>235</c:v>
                </c:pt>
                <c:pt idx="43">
                  <c:v>240</c:v>
                </c:pt>
                <c:pt idx="44">
                  <c:v>245</c:v>
                </c:pt>
                <c:pt idx="45">
                  <c:v>250</c:v>
                </c:pt>
                <c:pt idx="46">
                  <c:v>255</c:v>
                </c:pt>
                <c:pt idx="47">
                  <c:v>260</c:v>
                </c:pt>
                <c:pt idx="48">
                  <c:v>264</c:v>
                </c:pt>
                <c:pt idx="49">
                  <c:v>265</c:v>
                </c:pt>
                <c:pt idx="50">
                  <c:v>266</c:v>
                </c:pt>
                <c:pt idx="51">
                  <c:v>267</c:v>
                </c:pt>
                <c:pt idx="52">
                  <c:v>268</c:v>
                </c:pt>
                <c:pt idx="53">
                  <c:v>269</c:v>
                </c:pt>
                <c:pt idx="54">
                  <c:v>270</c:v>
                </c:pt>
                <c:pt idx="55">
                  <c:v>271</c:v>
                </c:pt>
                <c:pt idx="56">
                  <c:v>272</c:v>
                </c:pt>
                <c:pt idx="57">
                  <c:v>273</c:v>
                </c:pt>
                <c:pt idx="58">
                  <c:v>274</c:v>
                </c:pt>
                <c:pt idx="59">
                  <c:v>275</c:v>
                </c:pt>
                <c:pt idx="60">
                  <c:v>276</c:v>
                </c:pt>
                <c:pt idx="61">
                  <c:v>277</c:v>
                </c:pt>
                <c:pt idx="62">
                  <c:v>278</c:v>
                </c:pt>
                <c:pt idx="63">
                  <c:v>279</c:v>
                </c:pt>
                <c:pt idx="64">
                  <c:v>280</c:v>
                </c:pt>
                <c:pt idx="65">
                  <c:v>281</c:v>
                </c:pt>
                <c:pt idx="66">
                  <c:v>282</c:v>
                </c:pt>
                <c:pt idx="67">
                  <c:v>283</c:v>
                </c:pt>
                <c:pt idx="68">
                  <c:v>284</c:v>
                </c:pt>
                <c:pt idx="69">
                  <c:v>285</c:v>
                </c:pt>
                <c:pt idx="70">
                  <c:v>286</c:v>
                </c:pt>
                <c:pt idx="71">
                  <c:v>287</c:v>
                </c:pt>
                <c:pt idx="72">
                  <c:v>288</c:v>
                </c:pt>
                <c:pt idx="73">
                  <c:v>289</c:v>
                </c:pt>
                <c:pt idx="74">
                  <c:v>290</c:v>
                </c:pt>
                <c:pt idx="75">
                  <c:v>291</c:v>
                </c:pt>
                <c:pt idx="76">
                  <c:v>292</c:v>
                </c:pt>
                <c:pt idx="77">
                  <c:v>293</c:v>
                </c:pt>
                <c:pt idx="78">
                  <c:v>294</c:v>
                </c:pt>
                <c:pt idx="79">
                  <c:v>295</c:v>
                </c:pt>
                <c:pt idx="80">
                  <c:v>296</c:v>
                </c:pt>
                <c:pt idx="81">
                  <c:v>297</c:v>
                </c:pt>
                <c:pt idx="82">
                  <c:v>298</c:v>
                </c:pt>
                <c:pt idx="83">
                  <c:v>299</c:v>
                </c:pt>
                <c:pt idx="84">
                  <c:v>300</c:v>
                </c:pt>
                <c:pt idx="85">
                  <c:v>301</c:v>
                </c:pt>
                <c:pt idx="86">
                  <c:v>302</c:v>
                </c:pt>
                <c:pt idx="87">
                  <c:v>303</c:v>
                </c:pt>
                <c:pt idx="88">
                  <c:v>304</c:v>
                </c:pt>
                <c:pt idx="89">
                  <c:v>305</c:v>
                </c:pt>
                <c:pt idx="90">
                  <c:v>306</c:v>
                </c:pt>
                <c:pt idx="91">
                  <c:v>307</c:v>
                </c:pt>
                <c:pt idx="92">
                  <c:v>308</c:v>
                </c:pt>
                <c:pt idx="93">
                  <c:v>309</c:v>
                </c:pt>
                <c:pt idx="94">
                  <c:v>310</c:v>
                </c:pt>
                <c:pt idx="95">
                  <c:v>311</c:v>
                </c:pt>
                <c:pt idx="96">
                  <c:v>312</c:v>
                </c:pt>
                <c:pt idx="97">
                  <c:v>313</c:v>
                </c:pt>
                <c:pt idx="98">
                  <c:v>314</c:v>
                </c:pt>
                <c:pt idx="99">
                  <c:v>315</c:v>
                </c:pt>
                <c:pt idx="100">
                  <c:v>316</c:v>
                </c:pt>
                <c:pt idx="101">
                  <c:v>317</c:v>
                </c:pt>
                <c:pt idx="102">
                  <c:v>318</c:v>
                </c:pt>
                <c:pt idx="103">
                  <c:v>319</c:v>
                </c:pt>
                <c:pt idx="104">
                  <c:v>320</c:v>
                </c:pt>
                <c:pt idx="105">
                  <c:v>321</c:v>
                </c:pt>
                <c:pt idx="106">
                  <c:v>322</c:v>
                </c:pt>
                <c:pt idx="107">
                  <c:v>323</c:v>
                </c:pt>
                <c:pt idx="108">
                  <c:v>324</c:v>
                </c:pt>
                <c:pt idx="109">
                  <c:v>325</c:v>
                </c:pt>
                <c:pt idx="110">
                  <c:v>326</c:v>
                </c:pt>
                <c:pt idx="111">
                  <c:v>327</c:v>
                </c:pt>
                <c:pt idx="112">
                  <c:v>328</c:v>
                </c:pt>
                <c:pt idx="113">
                  <c:v>329</c:v>
                </c:pt>
                <c:pt idx="114">
                  <c:v>330</c:v>
                </c:pt>
                <c:pt idx="115">
                  <c:v>331</c:v>
                </c:pt>
                <c:pt idx="116">
                  <c:v>332</c:v>
                </c:pt>
                <c:pt idx="117">
                  <c:v>333</c:v>
                </c:pt>
                <c:pt idx="118">
                  <c:v>334</c:v>
                </c:pt>
                <c:pt idx="119">
                  <c:v>335</c:v>
                </c:pt>
                <c:pt idx="120">
                  <c:v>336</c:v>
                </c:pt>
                <c:pt idx="121">
                  <c:v>337</c:v>
                </c:pt>
                <c:pt idx="122">
                  <c:v>338</c:v>
                </c:pt>
                <c:pt idx="123">
                  <c:v>339</c:v>
                </c:pt>
                <c:pt idx="124">
                  <c:v>340</c:v>
                </c:pt>
                <c:pt idx="125">
                  <c:v>341</c:v>
                </c:pt>
                <c:pt idx="126">
                  <c:v>342</c:v>
                </c:pt>
                <c:pt idx="127">
                  <c:v>343</c:v>
                </c:pt>
                <c:pt idx="128">
                  <c:v>344</c:v>
                </c:pt>
                <c:pt idx="129">
                  <c:v>345</c:v>
                </c:pt>
                <c:pt idx="130">
                  <c:v>346</c:v>
                </c:pt>
                <c:pt idx="131">
                  <c:v>347</c:v>
                </c:pt>
                <c:pt idx="132">
                  <c:v>348</c:v>
                </c:pt>
                <c:pt idx="133">
                  <c:v>349</c:v>
                </c:pt>
                <c:pt idx="134">
                  <c:v>350</c:v>
                </c:pt>
                <c:pt idx="135">
                  <c:v>351</c:v>
                </c:pt>
                <c:pt idx="136">
                  <c:v>352</c:v>
                </c:pt>
                <c:pt idx="137">
                  <c:v>353</c:v>
                </c:pt>
                <c:pt idx="138">
                  <c:v>354</c:v>
                </c:pt>
                <c:pt idx="139">
                  <c:v>355</c:v>
                </c:pt>
                <c:pt idx="140">
                  <c:v>356</c:v>
                </c:pt>
                <c:pt idx="141">
                  <c:v>357</c:v>
                </c:pt>
                <c:pt idx="142">
                  <c:v>358</c:v>
                </c:pt>
                <c:pt idx="143">
                  <c:v>360</c:v>
                </c:pt>
                <c:pt idx="144">
                  <c:v>365</c:v>
                </c:pt>
                <c:pt idx="145">
                  <c:v>370</c:v>
                </c:pt>
                <c:pt idx="146">
                  <c:v>375</c:v>
                </c:pt>
                <c:pt idx="147">
                  <c:v>380</c:v>
                </c:pt>
                <c:pt idx="148">
                  <c:v>385</c:v>
                </c:pt>
                <c:pt idx="149">
                  <c:v>390</c:v>
                </c:pt>
                <c:pt idx="150">
                  <c:v>395</c:v>
                </c:pt>
                <c:pt idx="151">
                  <c:v>400</c:v>
                </c:pt>
                <c:pt idx="152">
                  <c:v>405</c:v>
                </c:pt>
                <c:pt idx="153">
                  <c:v>410</c:v>
                </c:pt>
                <c:pt idx="154">
                  <c:v>415</c:v>
                </c:pt>
                <c:pt idx="155">
                  <c:v>420</c:v>
                </c:pt>
                <c:pt idx="156">
                  <c:v>425</c:v>
                </c:pt>
                <c:pt idx="157">
                  <c:v>430</c:v>
                </c:pt>
                <c:pt idx="158">
                  <c:v>435</c:v>
                </c:pt>
                <c:pt idx="159">
                  <c:v>440</c:v>
                </c:pt>
              </c:numCache>
            </c:numRef>
          </c:cat>
          <c:val>
            <c:numRef>
              <c:f>SPYcallIV!$E$2:$E$161</c:f>
              <c:numCache>
                <c:formatCode>General</c:formatCode>
                <c:ptCount val="160"/>
                <c:pt idx="0">
                  <c:v>3.1011831998730801</c:v>
                </c:pt>
                <c:pt idx="1">
                  <c:v>2.8980954587711101</c:v>
                </c:pt>
                <c:pt idx="2">
                  <c:v>2.7243763575946298</c:v>
                </c:pt>
                <c:pt idx="3">
                  <c:v>2.5715584147647301</c:v>
                </c:pt>
                <c:pt idx="4">
                  <c:v>2.4353220607572301</c:v>
                </c:pt>
                <c:pt idx="5">
                  <c:v>2.3126645601822902</c:v>
                </c:pt>
                <c:pt idx="6">
                  <c:v>2.2005671018386002</c:v>
                </c:pt>
                <c:pt idx="7">
                  <c:v>2.0978244597724598</c:v>
                </c:pt>
                <c:pt idx="8">
                  <c:v>2.0027607564302099</c:v>
                </c:pt>
                <c:pt idx="9">
                  <c:v>1.9142929983693999</c:v>
                </c:pt>
                <c:pt idx="10">
                  <c:v>1.8315615608133899</c:v>
                </c:pt>
                <c:pt idx="11">
                  <c:v>1.7538554386210199</c:v>
                </c:pt>
                <c:pt idx="12">
                  <c:v>1.6805998927199099</c:v>
                </c:pt>
                <c:pt idx="13">
                  <c:v>1.6113067074679099</c:v>
                </c:pt>
                <c:pt idx="14">
                  <c:v>1.54556811235526</c:v>
                </c:pt>
                <c:pt idx="15">
                  <c:v>1.4830352249057299</c:v>
                </c:pt>
                <c:pt idx="16">
                  <c:v>0.256338167899061</c:v>
                </c:pt>
                <c:pt idx="17">
                  <c:v>1.3664322608287101</c:v>
                </c:pt>
                <c:pt idx="18">
                  <c:v>1.3118790869793799</c:v>
                </c:pt>
                <c:pt idx="19">
                  <c:v>1.2597230296567401</c:v>
                </c:pt>
                <c:pt idx="20">
                  <c:v>1.20943967304397</c:v>
                </c:pt>
                <c:pt idx="21">
                  <c:v>1.16105550874342</c:v>
                </c:pt>
                <c:pt idx="22">
                  <c:v>1.1144288328776399</c:v>
                </c:pt>
                <c:pt idx="23">
                  <c:v>1.06959416852232</c:v>
                </c:pt>
                <c:pt idx="24">
                  <c:v>1.0261251710320101</c:v>
                </c:pt>
                <c:pt idx="25">
                  <c:v>0.98408422154549102</c:v>
                </c:pt>
                <c:pt idx="26">
                  <c:v>0.943529030035137</c:v>
                </c:pt>
                <c:pt idx="27">
                  <c:v>0.90421887808578305</c:v>
                </c:pt>
                <c:pt idx="28">
                  <c:v>0.865943043097266</c:v>
                </c:pt>
                <c:pt idx="29">
                  <c:v>0.82905638591143804</c:v>
                </c:pt>
                <c:pt idx="30">
                  <c:v>0.79293905800464604</c:v>
                </c:pt>
                <c:pt idx="31">
                  <c:v>0.75808268110428401</c:v>
                </c:pt>
                <c:pt idx="32">
                  <c:v>0.72415759083127396</c:v>
                </c:pt>
                <c:pt idx="33">
                  <c:v>0.69111516710849796</c:v>
                </c:pt>
                <c:pt idx="34">
                  <c:v>0.65904112861586095</c:v>
                </c:pt>
                <c:pt idx="35">
                  <c:v>0.62776073980001701</c:v>
                </c:pt>
                <c:pt idx="36">
                  <c:v>0.59748257869511601</c:v>
                </c:pt>
                <c:pt idx="37">
                  <c:v>0.56804057238677397</c:v>
                </c:pt>
                <c:pt idx="38">
                  <c:v>0.53927432237461703</c:v>
                </c:pt>
                <c:pt idx="39">
                  <c:v>0.51150852729533203</c:v>
                </c:pt>
                <c:pt idx="40">
                  <c:v>0.48457939052858001</c:v>
                </c:pt>
                <c:pt idx="41">
                  <c:v>0.45833120465711302</c:v>
                </c:pt>
                <c:pt idx="42">
                  <c:v>0.43341009024583699</c:v>
                </c:pt>
                <c:pt idx="43">
                  <c:v>0.40908829150084902</c:v>
                </c:pt>
                <c:pt idx="44">
                  <c:v>0.385864294801115</c:v>
                </c:pt>
                <c:pt idx="45">
                  <c:v>0.36242120077269502</c:v>
                </c:pt>
                <c:pt idx="46">
                  <c:v>0.34092466766163898</c:v>
                </c:pt>
                <c:pt idx="47">
                  <c:v>0.32082844081366402</c:v>
                </c:pt>
                <c:pt idx="48">
                  <c:v>0.30529673354026998</c:v>
                </c:pt>
                <c:pt idx="49">
                  <c:v>0.30171913169186998</c:v>
                </c:pt>
                <c:pt idx="50">
                  <c:v>0.29776565627083001</c:v>
                </c:pt>
                <c:pt idx="51">
                  <c:v>0.29419378195137502</c:v>
                </c:pt>
                <c:pt idx="52">
                  <c:v>0.29043870999737198</c:v>
                </c:pt>
                <c:pt idx="53">
                  <c:v>0.286873547473872</c:v>
                </c:pt>
                <c:pt idx="54">
                  <c:v>0.28331010386012201</c:v>
                </c:pt>
                <c:pt idx="55">
                  <c:v>0.27974815970394801</c:v>
                </c:pt>
                <c:pt idx="56">
                  <c:v>0.27618748920459801</c:v>
                </c:pt>
                <c:pt idx="57">
                  <c:v>0.272896904551094</c:v>
                </c:pt>
                <c:pt idx="58">
                  <c:v>0.26951380561941701</c:v>
                </c:pt>
                <c:pt idx="59">
                  <c:v>0.26604021776589798</c:v>
                </c:pt>
                <c:pt idx="60">
                  <c:v>0.26274040517189501</c:v>
                </c:pt>
                <c:pt idx="61">
                  <c:v>0.25934963208886802</c:v>
                </c:pt>
                <c:pt idx="62">
                  <c:v>0.25621358010385797</c:v>
                </c:pt>
                <c:pt idx="63">
                  <c:v>0.25289944264078301</c:v>
                </c:pt>
                <c:pt idx="64">
                  <c:v>0.24983344237225499</c:v>
                </c:pt>
                <c:pt idx="65">
                  <c:v>0.24659066338610799</c:v>
                </c:pt>
                <c:pt idx="66">
                  <c:v>0.243506039239165</c:v>
                </c:pt>
                <c:pt idx="67">
                  <c:v>0.240329301599703</c:v>
                </c:pt>
                <c:pt idx="68">
                  <c:v>0.23738743247022201</c:v>
                </c:pt>
                <c:pt idx="69">
                  <c:v>0.23435112535452601</c:v>
                </c:pt>
                <c:pt idx="70">
                  <c:v>0.23146164744804201</c:v>
                </c:pt>
                <c:pt idx="71">
                  <c:v>0.22839838795564699</c:v>
                </c:pt>
                <c:pt idx="72">
                  <c:v>0.225481118982473</c:v>
                </c:pt>
                <c:pt idx="73">
                  <c:v>0.22254460173447499</c:v>
                </c:pt>
                <c:pt idx="74">
                  <c:v>0.21966804648739899</c:v>
                </c:pt>
                <c:pt idx="75">
                  <c:v>0.21662109356206399</c:v>
                </c:pt>
                <c:pt idx="76">
                  <c:v>0.21385904233564099</c:v>
                </c:pt>
                <c:pt idx="77">
                  <c:v>0.211223652051865</c:v>
                </c:pt>
                <c:pt idx="78">
                  <c:v>0.20834176114328601</c:v>
                </c:pt>
                <c:pt idx="79">
                  <c:v>0.20565733732411101</c:v>
                </c:pt>
                <c:pt idx="80">
                  <c:v>0.203018214388688</c:v>
                </c:pt>
                <c:pt idx="81">
                  <c:v>0.20021046093217401</c:v>
                </c:pt>
                <c:pt idx="82">
                  <c:v>0.19758631222782799</c:v>
                </c:pt>
                <c:pt idx="83">
                  <c:v>0.19507399033612699</c:v>
                </c:pt>
                <c:pt idx="84">
                  <c:v>0.19238955151133799</c:v>
                </c:pt>
                <c:pt idx="85">
                  <c:v>0.18974318923358199</c:v>
                </c:pt>
                <c:pt idx="86">
                  <c:v>0.18726703855965399</c:v>
                </c:pt>
                <c:pt idx="87">
                  <c:v>0.18461854552626999</c:v>
                </c:pt>
                <c:pt idx="88">
                  <c:v>0.18220151424734199</c:v>
                </c:pt>
                <c:pt idx="89">
                  <c:v>0.17967751269457999</c:v>
                </c:pt>
                <c:pt idx="90">
                  <c:v>0.17724391294505801</c:v>
                </c:pt>
                <c:pt idx="91">
                  <c:v>0.174896250702676</c:v>
                </c:pt>
                <c:pt idx="92">
                  <c:v>0.172566014963554</c:v>
                </c:pt>
                <c:pt idx="93">
                  <c:v>0.170123637416008</c:v>
                </c:pt>
                <c:pt idx="94">
                  <c:v>0.16769595244840599</c:v>
                </c:pt>
                <c:pt idx="95">
                  <c:v>0.16534272363552599</c:v>
                </c:pt>
                <c:pt idx="96">
                  <c:v>0.16305966535639899</c:v>
                </c:pt>
                <c:pt idx="97">
                  <c:v>0.16078124990877399</c:v>
                </c:pt>
                <c:pt idx="98">
                  <c:v>0.15838310719416801</c:v>
                </c:pt>
                <c:pt idx="99">
                  <c:v>0.156288022006976</c:v>
                </c:pt>
                <c:pt idx="100">
                  <c:v>0.15400701477120499</c:v>
                </c:pt>
                <c:pt idx="101">
                  <c:v>0.15189819560607701</c:v>
                </c:pt>
                <c:pt idx="102">
                  <c:v>0.14971872606025499</c:v>
                </c:pt>
                <c:pt idx="103">
                  <c:v>0.14752562979662301</c:v>
                </c:pt>
                <c:pt idx="104">
                  <c:v>0.14543256800898</c:v>
                </c:pt>
                <c:pt idx="105">
                  <c:v>0.14331841874669499</c:v>
                </c:pt>
                <c:pt idx="106">
                  <c:v>0.141295477383998</c:v>
                </c:pt>
                <c:pt idx="107">
                  <c:v>0.139300897141724</c:v>
                </c:pt>
                <c:pt idx="108">
                  <c:v>0.137276083903557</c:v>
                </c:pt>
                <c:pt idx="109">
                  <c:v>0.13544064085792401</c:v>
                </c:pt>
                <c:pt idx="110">
                  <c:v>0.13362177831323499</c:v>
                </c:pt>
                <c:pt idx="111">
                  <c:v>0.131815715433516</c:v>
                </c:pt>
                <c:pt idx="112">
                  <c:v>0.13001856803074799</c:v>
                </c:pt>
                <c:pt idx="113">
                  <c:v>0.128450373987605</c:v>
                </c:pt>
                <c:pt idx="114">
                  <c:v>0.12682800479781001</c:v>
                </c:pt>
                <c:pt idx="115">
                  <c:v>0.125314830810452</c:v>
                </c:pt>
                <c:pt idx="116">
                  <c:v>0.123794466540102</c:v>
                </c:pt>
                <c:pt idx="117">
                  <c:v>0.122435478672501</c:v>
                </c:pt>
                <c:pt idx="118">
                  <c:v>0.121178775175337</c:v>
                </c:pt>
                <c:pt idx="119">
                  <c:v>0.11996467287775101</c:v>
                </c:pt>
                <c:pt idx="120">
                  <c:v>0.11896713819423201</c:v>
                </c:pt>
                <c:pt idx="121">
                  <c:v>0.11801130508453</c:v>
                </c:pt>
                <c:pt idx="122">
                  <c:v>0.117156062886275</c:v>
                </c:pt>
                <c:pt idx="123">
                  <c:v>0.116527570280493</c:v>
                </c:pt>
                <c:pt idx="124">
                  <c:v>0.116004065702555</c:v>
                </c:pt>
                <c:pt idx="125">
                  <c:v>0.11559431919520401</c:v>
                </c:pt>
                <c:pt idx="126">
                  <c:v>0.115302076711918</c:v>
                </c:pt>
                <c:pt idx="127">
                  <c:v>0.115197889663959</c:v>
                </c:pt>
                <c:pt idx="128">
                  <c:v>0.115292433944127</c:v>
                </c:pt>
                <c:pt idx="129">
                  <c:v>0.11546465816568501</c:v>
                </c:pt>
                <c:pt idx="130">
                  <c:v>0.115788866477707</c:v>
                </c:pt>
                <c:pt idx="131">
                  <c:v>0.116414545195835</c:v>
                </c:pt>
                <c:pt idx="132">
                  <c:v>0.117150406454608</c:v>
                </c:pt>
                <c:pt idx="133">
                  <c:v>0.11807781894903401</c:v>
                </c:pt>
                <c:pt idx="134">
                  <c:v>0.11913784608738701</c:v>
                </c:pt>
                <c:pt idx="135">
                  <c:v>0.12041573125935</c:v>
                </c:pt>
                <c:pt idx="136">
                  <c:v>0.121851081495001</c:v>
                </c:pt>
                <c:pt idx="137">
                  <c:v>0.123377150216013</c:v>
                </c:pt>
                <c:pt idx="138">
                  <c:v>0.12515683092636201</c:v>
                </c:pt>
                <c:pt idx="139">
                  <c:v>0.127049196670318</c:v>
                </c:pt>
                <c:pt idx="140">
                  <c:v>0.12905870649395401</c:v>
                </c:pt>
                <c:pt idx="141">
                  <c:v>0.13119311385452401</c:v>
                </c:pt>
                <c:pt idx="142">
                  <c:v>0.13337693885996499</c:v>
                </c:pt>
                <c:pt idx="143">
                  <c:v>0.13832155238060501</c:v>
                </c:pt>
                <c:pt idx="144">
                  <c:v>0.151613925842876</c:v>
                </c:pt>
                <c:pt idx="145">
                  <c:v>0.16628004490058301</c:v>
                </c:pt>
                <c:pt idx="146">
                  <c:v>0.18164896861159699</c:v>
                </c:pt>
                <c:pt idx="147">
                  <c:v>0.19740691931815499</c:v>
                </c:pt>
                <c:pt idx="148">
                  <c:v>0.21329949601126499</c:v>
                </c:pt>
                <c:pt idx="149">
                  <c:v>0.22933856781172099</c:v>
                </c:pt>
                <c:pt idx="150">
                  <c:v>0.245168652682792</c:v>
                </c:pt>
                <c:pt idx="151">
                  <c:v>0.26097531271863</c:v>
                </c:pt>
                <c:pt idx="152">
                  <c:v>0.276757857023883</c:v>
                </c:pt>
                <c:pt idx="153">
                  <c:v>0.29216897564452499</c:v>
                </c:pt>
                <c:pt idx="154">
                  <c:v>0.30756813223783502</c:v>
                </c:pt>
                <c:pt idx="155">
                  <c:v>0.32278042617470798</c:v>
                </c:pt>
                <c:pt idx="156">
                  <c:v>0.33763574667232599</c:v>
                </c:pt>
                <c:pt idx="157">
                  <c:v>0.35248985441642999</c:v>
                </c:pt>
                <c:pt idx="158">
                  <c:v>0.367170104273774</c:v>
                </c:pt>
                <c:pt idx="159">
                  <c:v>0.381680167128786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6-4BEE-8162-8B509E8AB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307295"/>
        <c:axId val="2009306047"/>
      </c:lineChart>
      <c:dateAx>
        <c:axId val="200930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6047"/>
        <c:crosses val="autoZero"/>
        <c:auto val="0"/>
        <c:lblOffset val="100"/>
        <c:baseTimeUnit val="days"/>
        <c:majorUnit val="50"/>
        <c:majorTimeUnit val="days"/>
      </c:dateAx>
      <c:valAx>
        <c:axId val="20093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519430</xdr:colOff>
      <xdr:row>15</xdr:row>
      <xdr:rowOff>166370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6B539-6DAA-4B08-8464-3F2E77699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6Table%20SPXput%20I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PXputIV"/>
      <sheetName val="Sheet2"/>
    </sheetNames>
    <sheetDataSet>
      <sheetData sheetId="0" refreshError="1"/>
      <sheetData sheetId="1">
        <row r="1">
          <cell r="E1" t="str">
            <v>IV</v>
          </cell>
        </row>
        <row r="2">
          <cell r="C2">
            <v>800</v>
          </cell>
          <cell r="E2">
            <v>1.76744283275783</v>
          </cell>
        </row>
        <row r="3">
          <cell r="C3">
            <v>900</v>
          </cell>
          <cell r="E3">
            <v>1.6225391919773899</v>
          </cell>
        </row>
        <row r="4">
          <cell r="C4">
            <v>1000</v>
          </cell>
          <cell r="E4">
            <v>1.4923503236161</v>
          </cell>
        </row>
        <row r="5">
          <cell r="C5">
            <v>1100</v>
          </cell>
          <cell r="E5">
            <v>1.37425548065639</v>
          </cell>
        </row>
        <row r="6">
          <cell r="C6">
            <v>1150</v>
          </cell>
          <cell r="E6">
            <v>1.3188023674520899</v>
          </cell>
        </row>
        <row r="7">
          <cell r="C7">
            <v>1200</v>
          </cell>
          <cell r="E7">
            <v>1.26579247894606</v>
          </cell>
        </row>
        <row r="8">
          <cell r="C8">
            <v>1225</v>
          </cell>
          <cell r="E8">
            <v>1.24012507405568</v>
          </cell>
        </row>
        <row r="9">
          <cell r="C9">
            <v>1250</v>
          </cell>
          <cell r="E9">
            <v>1.2148720090973799</v>
          </cell>
        </row>
        <row r="10">
          <cell r="C10">
            <v>1275</v>
          </cell>
          <cell r="E10">
            <v>1.1901001281934001</v>
          </cell>
        </row>
        <row r="11">
          <cell r="C11">
            <v>1300</v>
          </cell>
          <cell r="E11">
            <v>1.1658776856556301</v>
          </cell>
        </row>
        <row r="12">
          <cell r="C12">
            <v>1325</v>
          </cell>
          <cell r="E12">
            <v>1.1421022162729999</v>
          </cell>
        </row>
        <row r="13">
          <cell r="C13">
            <v>1350</v>
          </cell>
          <cell r="E13">
            <v>1.11867327574058</v>
          </cell>
        </row>
        <row r="14">
          <cell r="C14">
            <v>1375</v>
          </cell>
          <cell r="E14">
            <v>1.09581918516819</v>
          </cell>
        </row>
        <row r="15">
          <cell r="C15">
            <v>1400</v>
          </cell>
          <cell r="E15">
            <v>1.07320654986819</v>
          </cell>
        </row>
        <row r="16">
          <cell r="C16">
            <v>1425</v>
          </cell>
          <cell r="E16">
            <v>1.0511381942623701</v>
          </cell>
        </row>
        <row r="17">
          <cell r="C17">
            <v>1450</v>
          </cell>
          <cell r="E17">
            <v>1.02928835058101</v>
          </cell>
        </row>
        <row r="18">
          <cell r="C18">
            <v>1475</v>
          </cell>
          <cell r="E18">
            <v>1.00787400898636</v>
          </cell>
        </row>
        <row r="19">
          <cell r="C19">
            <v>1500</v>
          </cell>
          <cell r="E19">
            <v>0.98681028846693397</v>
          </cell>
        </row>
        <row r="20">
          <cell r="C20">
            <v>1525</v>
          </cell>
          <cell r="E20">
            <v>0.96616182279002505</v>
          </cell>
        </row>
        <row r="21">
          <cell r="C21">
            <v>1550</v>
          </cell>
          <cell r="E21">
            <v>0.94569093819167904</v>
          </cell>
        </row>
        <row r="22">
          <cell r="C22">
            <v>1575</v>
          </cell>
          <cell r="E22">
            <v>0.92568341625154105</v>
          </cell>
        </row>
        <row r="23">
          <cell r="C23">
            <v>1600</v>
          </cell>
          <cell r="E23">
            <v>0.90598252023099801</v>
          </cell>
        </row>
        <row r="24">
          <cell r="C24">
            <v>1625</v>
          </cell>
          <cell r="E24">
            <v>0.88657907996416896</v>
          </cell>
        </row>
        <row r="25">
          <cell r="C25">
            <v>1650</v>
          </cell>
          <cell r="E25">
            <v>0.86732159514118901</v>
          </cell>
        </row>
        <row r="26">
          <cell r="C26">
            <v>1675</v>
          </cell>
          <cell r="E26">
            <v>0.84848853249632605</v>
          </cell>
        </row>
        <row r="27">
          <cell r="C27">
            <v>1700</v>
          </cell>
          <cell r="E27">
            <v>0.82992452605706102</v>
          </cell>
        </row>
        <row r="28">
          <cell r="C28">
            <v>1725</v>
          </cell>
          <cell r="E28">
            <v>0.811628354707574</v>
          </cell>
        </row>
        <row r="29">
          <cell r="C29">
            <v>1750</v>
          </cell>
          <cell r="E29">
            <v>0.79358774704033497</v>
          </cell>
        </row>
        <row r="30">
          <cell r="C30">
            <v>1775</v>
          </cell>
          <cell r="E30">
            <v>0.77579696465303505</v>
          </cell>
        </row>
        <row r="31">
          <cell r="C31">
            <v>1800</v>
          </cell>
          <cell r="E31">
            <v>0.75824923001836098</v>
          </cell>
        </row>
        <row r="32">
          <cell r="C32">
            <v>1825</v>
          </cell>
          <cell r="E32">
            <v>0.74093802611194903</v>
          </cell>
        </row>
        <row r="33">
          <cell r="C33">
            <v>1850</v>
          </cell>
          <cell r="E33">
            <v>0.72392391879680595</v>
          </cell>
        </row>
        <row r="34">
          <cell r="C34">
            <v>1875</v>
          </cell>
          <cell r="E34">
            <v>0.70713293799772203</v>
          </cell>
        </row>
        <row r="35">
          <cell r="C35">
            <v>1900</v>
          </cell>
          <cell r="E35">
            <v>0.69062497338180295</v>
          </cell>
        </row>
        <row r="36">
          <cell r="C36">
            <v>1925</v>
          </cell>
          <cell r="E36">
            <v>0.67433073495926299</v>
          </cell>
        </row>
        <row r="37">
          <cell r="C37">
            <v>1950</v>
          </cell>
          <cell r="E37">
            <v>0.65823844993534897</v>
          </cell>
        </row>
        <row r="38">
          <cell r="C38">
            <v>1975</v>
          </cell>
          <cell r="E38">
            <v>0.64241271671836297</v>
          </cell>
        </row>
        <row r="39">
          <cell r="C39">
            <v>2000</v>
          </cell>
          <cell r="E39">
            <v>0.62678188107909105</v>
          </cell>
        </row>
        <row r="40">
          <cell r="C40">
            <v>2025</v>
          </cell>
          <cell r="E40">
            <v>0.61140277723206304</v>
          </cell>
        </row>
        <row r="41">
          <cell r="C41">
            <v>2050</v>
          </cell>
          <cell r="E41">
            <v>0.59621110033291103</v>
          </cell>
        </row>
        <row r="42">
          <cell r="C42">
            <v>2075</v>
          </cell>
          <cell r="E42">
            <v>0.58132342005532001</v>
          </cell>
        </row>
        <row r="43">
          <cell r="C43">
            <v>2100</v>
          </cell>
          <cell r="E43">
            <v>0.566609434606829</v>
          </cell>
        </row>
        <row r="44">
          <cell r="C44">
            <v>2125</v>
          </cell>
          <cell r="E44">
            <v>0.55206550968272095</v>
          </cell>
        </row>
        <row r="45">
          <cell r="C45">
            <v>2150</v>
          </cell>
          <cell r="E45">
            <v>0.53781051366133503</v>
          </cell>
        </row>
        <row r="46">
          <cell r="C46">
            <v>2175</v>
          </cell>
          <cell r="E46">
            <v>0.52383714596572395</v>
          </cell>
        </row>
        <row r="47">
          <cell r="C47">
            <v>2200</v>
          </cell>
          <cell r="E47">
            <v>0.50995826287326596</v>
          </cell>
        </row>
        <row r="48">
          <cell r="C48">
            <v>2225</v>
          </cell>
          <cell r="E48">
            <v>0.49629130322366</v>
          </cell>
        </row>
        <row r="49">
          <cell r="C49">
            <v>2250</v>
          </cell>
          <cell r="E49">
            <v>0.48288692397523097</v>
          </cell>
        </row>
        <row r="50">
          <cell r="C50">
            <v>2275</v>
          </cell>
          <cell r="E50">
            <v>0.46962878762424698</v>
          </cell>
        </row>
        <row r="51">
          <cell r="C51">
            <v>2300</v>
          </cell>
          <cell r="E51">
            <v>0.45662606135448802</v>
          </cell>
        </row>
        <row r="52">
          <cell r="C52">
            <v>2325</v>
          </cell>
          <cell r="E52">
            <v>0.44387253599334398</v>
          </cell>
        </row>
        <row r="53">
          <cell r="C53">
            <v>2350</v>
          </cell>
          <cell r="E53">
            <v>0.43124847524516502</v>
          </cell>
        </row>
        <row r="54">
          <cell r="C54">
            <v>2375</v>
          </cell>
          <cell r="E54">
            <v>0.41897579834404702</v>
          </cell>
        </row>
        <row r="55">
          <cell r="C55">
            <v>2400</v>
          </cell>
          <cell r="E55">
            <v>0.40693346831438498</v>
          </cell>
        </row>
        <row r="56">
          <cell r="C56">
            <v>2425</v>
          </cell>
          <cell r="E56">
            <v>0.39511867346698099</v>
          </cell>
        </row>
        <row r="57">
          <cell r="C57">
            <v>2450</v>
          </cell>
          <cell r="E57">
            <v>0.38351835537341</v>
          </cell>
        </row>
        <row r="58">
          <cell r="C58">
            <v>2475</v>
          </cell>
          <cell r="E58">
            <v>0.37212938549904301</v>
          </cell>
        </row>
        <row r="59">
          <cell r="C59">
            <v>2500</v>
          </cell>
          <cell r="E59">
            <v>0.36105137292447598</v>
          </cell>
        </row>
        <row r="60">
          <cell r="C60">
            <v>2525</v>
          </cell>
          <cell r="E60">
            <v>0.35016869321726402</v>
          </cell>
        </row>
        <row r="61">
          <cell r="C61">
            <v>2550</v>
          </cell>
          <cell r="E61">
            <v>0.33937006371217099</v>
          </cell>
        </row>
        <row r="62">
          <cell r="C62">
            <v>2575</v>
          </cell>
          <cell r="E62">
            <v>0.32906298308323101</v>
          </cell>
        </row>
        <row r="63">
          <cell r="C63">
            <v>2600</v>
          </cell>
          <cell r="E63">
            <v>0.31892443575685703</v>
          </cell>
        </row>
        <row r="64">
          <cell r="C64">
            <v>2625</v>
          </cell>
          <cell r="E64">
            <v>0.309043104181215</v>
          </cell>
        </row>
        <row r="65">
          <cell r="C65">
            <v>2650</v>
          </cell>
          <cell r="E65">
            <v>0.29940653358302799</v>
          </cell>
        </row>
        <row r="66">
          <cell r="C66">
            <v>2675</v>
          </cell>
          <cell r="E66">
            <v>0.29010011132015001</v>
          </cell>
        </row>
        <row r="67">
          <cell r="C67">
            <v>2700</v>
          </cell>
          <cell r="E67">
            <v>0.280915481721984</v>
          </cell>
        </row>
        <row r="68">
          <cell r="C68">
            <v>2725</v>
          </cell>
          <cell r="E68">
            <v>0.271935989368422</v>
          </cell>
        </row>
        <row r="69">
          <cell r="C69">
            <v>2750</v>
          </cell>
          <cell r="E69">
            <v>0.26332699333030302</v>
          </cell>
        </row>
        <row r="70">
          <cell r="C70">
            <v>2775</v>
          </cell>
          <cell r="E70">
            <v>0.25488642650869298</v>
          </cell>
        </row>
        <row r="71">
          <cell r="C71">
            <v>2800</v>
          </cell>
          <cell r="E71">
            <v>0.24668512790184099</v>
          </cell>
        </row>
        <row r="72">
          <cell r="C72">
            <v>2825</v>
          </cell>
          <cell r="E72">
            <v>0.238785834372922</v>
          </cell>
        </row>
        <row r="73">
          <cell r="C73">
            <v>2850</v>
          </cell>
          <cell r="E73">
            <v>0.230996764064126</v>
          </cell>
        </row>
        <row r="74">
          <cell r="C74">
            <v>2875</v>
          </cell>
          <cell r="E74">
            <v>0.22346286551747799</v>
          </cell>
        </row>
        <row r="75">
          <cell r="C75">
            <v>2900</v>
          </cell>
          <cell r="E75">
            <v>0.21615826338840499</v>
          </cell>
        </row>
        <row r="76">
          <cell r="C76">
            <v>2925</v>
          </cell>
          <cell r="E76">
            <v>0.20912520179720401</v>
          </cell>
        </row>
        <row r="77">
          <cell r="C77">
            <v>2950</v>
          </cell>
          <cell r="E77">
            <v>0.20218427527668201</v>
          </cell>
        </row>
        <row r="78">
          <cell r="C78">
            <v>2975</v>
          </cell>
          <cell r="E78">
            <v>0.195385782456899</v>
          </cell>
        </row>
        <row r="79">
          <cell r="C79">
            <v>3000</v>
          </cell>
          <cell r="E79">
            <v>0.18883872745125199</v>
          </cell>
        </row>
        <row r="80">
          <cell r="C80">
            <v>3025</v>
          </cell>
          <cell r="E80">
            <v>0.182370593764376</v>
          </cell>
        </row>
        <row r="81">
          <cell r="C81">
            <v>3050</v>
          </cell>
          <cell r="E81">
            <v>0.176152800695872</v>
          </cell>
        </row>
        <row r="82">
          <cell r="C82">
            <v>3075</v>
          </cell>
          <cell r="E82">
            <v>0.170067938761609</v>
          </cell>
        </row>
        <row r="83">
          <cell r="C83">
            <v>3100</v>
          </cell>
          <cell r="E83">
            <v>0.164149290084208</v>
          </cell>
        </row>
        <row r="84">
          <cell r="C84">
            <v>3125</v>
          </cell>
          <cell r="E84">
            <v>0.158410565471482</v>
          </cell>
        </row>
        <row r="85">
          <cell r="C85">
            <v>3150</v>
          </cell>
          <cell r="E85">
            <v>0.15280214204109799</v>
          </cell>
        </row>
        <row r="86">
          <cell r="C86">
            <v>3175</v>
          </cell>
          <cell r="E86">
            <v>0.147393767683313</v>
          </cell>
        </row>
        <row r="87">
          <cell r="C87">
            <v>3200</v>
          </cell>
          <cell r="E87">
            <v>0.14212794156856801</v>
          </cell>
        </row>
        <row r="88">
          <cell r="C88">
            <v>3225</v>
          </cell>
          <cell r="E88">
            <v>0.13706248213166899</v>
          </cell>
        </row>
        <row r="89">
          <cell r="C89">
            <v>3250</v>
          </cell>
          <cell r="E89">
            <v>0.13230609037132701</v>
          </cell>
        </row>
        <row r="90">
          <cell r="C90">
            <v>3275</v>
          </cell>
          <cell r="E90">
            <v>0.127788363353845</v>
          </cell>
        </row>
        <row r="91">
          <cell r="C91">
            <v>3300</v>
          </cell>
          <cell r="E91">
            <v>0.12373074032131801</v>
          </cell>
        </row>
        <row r="92">
          <cell r="C92">
            <v>3325</v>
          </cell>
          <cell r="E92">
            <v>0.120070661091291</v>
          </cell>
        </row>
        <row r="93">
          <cell r="C93">
            <v>3350</v>
          </cell>
          <cell r="E93">
            <v>0.117050637776053</v>
          </cell>
        </row>
        <row r="94">
          <cell r="C94">
            <v>3375</v>
          </cell>
          <cell r="E94">
            <v>0.11465038995914301</v>
          </cell>
        </row>
        <row r="95">
          <cell r="C95">
            <v>3400</v>
          </cell>
          <cell r="E95">
            <v>0.113068422230292</v>
          </cell>
        </row>
        <row r="96">
          <cell r="C96">
            <v>3425</v>
          </cell>
          <cell r="E96">
            <v>0.112307471404299</v>
          </cell>
        </row>
        <row r="97">
          <cell r="C97">
            <v>3450</v>
          </cell>
          <cell r="E97">
            <v>0.112412243567262</v>
          </cell>
        </row>
        <row r="98">
          <cell r="C98">
            <v>3475</v>
          </cell>
          <cell r="E98">
            <v>0.113821939311297</v>
          </cell>
        </row>
        <row r="99">
          <cell r="C99">
            <v>3500</v>
          </cell>
          <cell r="E99">
            <v>0.116041921478987</v>
          </cell>
        </row>
        <row r="100">
          <cell r="C100">
            <v>3525</v>
          </cell>
          <cell r="E100">
            <v>0.119876836292803</v>
          </cell>
        </row>
        <row r="101">
          <cell r="C101">
            <v>3550</v>
          </cell>
          <cell r="E101">
            <v>0.124222671583504</v>
          </cell>
        </row>
        <row r="102">
          <cell r="C102">
            <v>3575</v>
          </cell>
          <cell r="E102">
            <v>0.1293530564581</v>
          </cell>
        </row>
        <row r="103">
          <cell r="C103">
            <v>3600</v>
          </cell>
          <cell r="E103">
            <v>0.13554885827506799</v>
          </cell>
        </row>
        <row r="104">
          <cell r="C104">
            <v>3625</v>
          </cell>
          <cell r="E104">
            <v>0.14265258659619701</v>
          </cell>
        </row>
        <row r="105">
          <cell r="C105">
            <v>3650</v>
          </cell>
          <cell r="E105">
            <v>0.150102600765747</v>
          </cell>
        </row>
        <row r="106">
          <cell r="C106">
            <v>3700</v>
          </cell>
          <cell r="E106">
            <v>0.164242765302928</v>
          </cell>
        </row>
        <row r="107">
          <cell r="C107">
            <v>3750</v>
          </cell>
          <cell r="E107">
            <v>0.180618726486209</v>
          </cell>
        </row>
        <row r="108">
          <cell r="C108">
            <v>3800</v>
          </cell>
          <cell r="E108">
            <v>0.195144286737088</v>
          </cell>
        </row>
        <row r="109">
          <cell r="C109">
            <v>3900</v>
          </cell>
          <cell r="E109">
            <v>0.22706335006643799</v>
          </cell>
        </row>
        <row r="110">
          <cell r="C110">
            <v>4000</v>
          </cell>
          <cell r="E110">
            <v>0.25887633576477098</v>
          </cell>
        </row>
        <row r="111">
          <cell r="C111">
            <v>4100</v>
          </cell>
          <cell r="E111">
            <v>0.29015972245829602</v>
          </cell>
        </row>
        <row r="112">
          <cell r="C112">
            <v>4200</v>
          </cell>
          <cell r="E112">
            <v>0.32051139206683799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14" sqref="A14:F23"/>
    </sheetView>
  </sheetViews>
  <sheetFormatPr defaultRowHeight="14.5" x14ac:dyDescent="0.35"/>
  <cols>
    <col min="9" max="9" width="9.26953125" bestFit="1" customWidth="1"/>
    <col min="10" max="10" width="11.36328125" bestFit="1" customWidth="1"/>
    <col min="11" max="11" width="9.26953125" bestFit="1" customWidth="1"/>
    <col min="12" max="12" width="10.36328125" bestFit="1" customWidth="1"/>
  </cols>
  <sheetData>
    <row r="1" spans="1:6" x14ac:dyDescent="0.35">
      <c r="A1" s="4" t="s">
        <v>2</v>
      </c>
      <c r="B1" s="4"/>
      <c r="C1" s="4" t="s">
        <v>3</v>
      </c>
      <c r="D1" s="4"/>
      <c r="E1" s="4" t="s">
        <v>4</v>
      </c>
      <c r="F1" s="4"/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 t="s">
        <v>5</v>
      </c>
      <c r="B3" s="2">
        <v>269.90625</v>
      </c>
      <c r="C3" s="2" t="s">
        <v>5</v>
      </c>
      <c r="D3" s="2">
        <v>70.467437500000017</v>
      </c>
      <c r="E3" s="2" t="s">
        <v>5</v>
      </c>
      <c r="F3" s="2">
        <v>0.49807740840966963</v>
      </c>
    </row>
    <row r="4" spans="1:6" x14ac:dyDescent="0.35">
      <c r="A4" s="2" t="s">
        <v>6</v>
      </c>
      <c r="B4" s="2">
        <v>98.390621636925488</v>
      </c>
      <c r="C4" s="2" t="s">
        <v>6</v>
      </c>
      <c r="D4" s="2">
        <v>85.226563360241883</v>
      </c>
      <c r="E4" s="2" t="s">
        <v>6</v>
      </c>
      <c r="F4" s="2">
        <v>0.62862611879279695</v>
      </c>
    </row>
    <row r="5" spans="1:6" x14ac:dyDescent="0.35">
      <c r="A5" s="2" t="s">
        <v>7</v>
      </c>
      <c r="B5" s="2">
        <v>1.4027847408662808E-2</v>
      </c>
      <c r="C5" s="2" t="s">
        <v>7</v>
      </c>
      <c r="D5" s="2">
        <v>0.48706954163315919</v>
      </c>
      <c r="E5" s="2" t="s">
        <v>7</v>
      </c>
      <c r="F5" s="2">
        <v>4.7215675728106783</v>
      </c>
    </row>
    <row r="6" spans="1:6" x14ac:dyDescent="0.35">
      <c r="A6" s="2" t="s">
        <v>8</v>
      </c>
      <c r="B6" s="2">
        <v>-0.87248942852440203</v>
      </c>
      <c r="C6" s="2" t="s">
        <v>8</v>
      </c>
      <c r="D6" s="2">
        <v>1.3183007998407534</v>
      </c>
      <c r="E6" s="2" t="s">
        <v>8</v>
      </c>
      <c r="F6" s="2">
        <v>2.2825992261347694</v>
      </c>
    </row>
    <row r="7" spans="1:6" x14ac:dyDescent="0.35">
      <c r="A7" s="2" t="s">
        <v>9</v>
      </c>
      <c r="B7" s="2">
        <v>25</v>
      </c>
      <c r="C7" s="2" t="s">
        <v>9</v>
      </c>
      <c r="D7" s="2">
        <v>0.01</v>
      </c>
      <c r="E7" s="2" t="s">
        <v>9</v>
      </c>
      <c r="F7" s="2">
        <v>0.115197889663959</v>
      </c>
    </row>
    <row r="8" spans="1:6" x14ac:dyDescent="0.35">
      <c r="A8" s="2" t="s">
        <v>10</v>
      </c>
      <c r="B8" s="2">
        <v>440</v>
      </c>
      <c r="C8" s="2" t="s">
        <v>10</v>
      </c>
      <c r="D8" s="2">
        <v>300.73</v>
      </c>
      <c r="E8" s="2" t="s">
        <v>10</v>
      </c>
      <c r="F8" s="2">
        <v>3.1011831998730801</v>
      </c>
    </row>
    <row r="9" spans="1:6" ht="15" thickBot="1" x14ac:dyDescent="0.4">
      <c r="A9" s="3" t="s">
        <v>11</v>
      </c>
      <c r="B9" s="3">
        <v>160</v>
      </c>
      <c r="C9" s="3" t="s">
        <v>11</v>
      </c>
      <c r="D9" s="3">
        <v>160</v>
      </c>
      <c r="E9" s="3" t="s">
        <v>11</v>
      </c>
      <c r="F9" s="3">
        <v>160</v>
      </c>
    </row>
    <row r="14" spans="1:6" ht="16" thickBot="1" x14ac:dyDescent="0.4">
      <c r="A14" s="5" t="s">
        <v>12</v>
      </c>
      <c r="B14" s="5"/>
      <c r="C14" s="5"/>
      <c r="D14" s="5"/>
      <c r="E14" s="5"/>
      <c r="F14" s="5"/>
    </row>
    <row r="15" spans="1:6" x14ac:dyDescent="0.35">
      <c r="A15" s="6" t="s">
        <v>2</v>
      </c>
      <c r="B15" s="6"/>
      <c r="C15" s="6" t="s">
        <v>3</v>
      </c>
      <c r="D15" s="6"/>
      <c r="E15" s="6" t="s">
        <v>4</v>
      </c>
      <c r="F15" s="6"/>
    </row>
    <row r="17" spans="1:6" x14ac:dyDescent="0.35">
      <c r="A17" t="s">
        <v>5</v>
      </c>
      <c r="B17" s="7">
        <v>269.90625</v>
      </c>
      <c r="C17" t="s">
        <v>5</v>
      </c>
      <c r="D17" s="7">
        <v>70.467437500000017</v>
      </c>
      <c r="E17" t="s">
        <v>5</v>
      </c>
      <c r="F17" s="7">
        <v>0.49807740840966963</v>
      </c>
    </row>
    <row r="18" spans="1:6" x14ac:dyDescent="0.35">
      <c r="A18" s="8" t="s">
        <v>13</v>
      </c>
      <c r="B18" s="7">
        <v>98.390621636925488</v>
      </c>
      <c r="C18" s="8" t="s">
        <v>13</v>
      </c>
      <c r="D18" s="7">
        <v>85.226563360241883</v>
      </c>
      <c r="E18" s="8" t="s">
        <v>13</v>
      </c>
      <c r="F18" s="7">
        <v>0.62862611879279695</v>
      </c>
    </row>
    <row r="19" spans="1:6" x14ac:dyDescent="0.35">
      <c r="A19" t="s">
        <v>7</v>
      </c>
      <c r="B19" s="7">
        <v>1.4027847408662808E-2</v>
      </c>
      <c r="C19" t="s">
        <v>7</v>
      </c>
      <c r="D19" s="7">
        <v>0.48706954163315919</v>
      </c>
      <c r="E19" t="s">
        <v>7</v>
      </c>
      <c r="F19" s="7">
        <v>4.7215675728106783</v>
      </c>
    </row>
    <row r="20" spans="1:6" x14ac:dyDescent="0.35">
      <c r="A20" t="s">
        <v>8</v>
      </c>
      <c r="B20" s="7">
        <v>-0.87248942852440203</v>
      </c>
      <c r="C20" t="s">
        <v>8</v>
      </c>
      <c r="D20" s="7">
        <v>1.3183007998407534</v>
      </c>
      <c r="E20" t="s">
        <v>8</v>
      </c>
      <c r="F20" s="7">
        <v>2.2825992261347694</v>
      </c>
    </row>
    <row r="21" spans="1:6" x14ac:dyDescent="0.35">
      <c r="A21" t="s">
        <v>9</v>
      </c>
      <c r="B21">
        <v>25</v>
      </c>
      <c r="C21" t="s">
        <v>9</v>
      </c>
      <c r="D21">
        <v>0.01</v>
      </c>
      <c r="E21" t="s">
        <v>9</v>
      </c>
      <c r="F21" s="7">
        <v>0.115197889663959</v>
      </c>
    </row>
    <row r="22" spans="1:6" x14ac:dyDescent="0.35">
      <c r="A22" t="s">
        <v>10</v>
      </c>
      <c r="B22">
        <v>440</v>
      </c>
      <c r="C22" t="s">
        <v>10</v>
      </c>
      <c r="D22">
        <v>300.73</v>
      </c>
      <c r="E22" t="s">
        <v>10</v>
      </c>
      <c r="F22" s="7">
        <v>3.1011831998730801</v>
      </c>
    </row>
    <row r="23" spans="1:6" ht="15" thickBot="1" x14ac:dyDescent="0.4">
      <c r="A23" s="9" t="s">
        <v>11</v>
      </c>
      <c r="B23" s="9">
        <v>160</v>
      </c>
      <c r="C23" s="9" t="s">
        <v>11</v>
      </c>
      <c r="D23" s="9">
        <v>160</v>
      </c>
      <c r="E23" s="9" t="s">
        <v>11</v>
      </c>
      <c r="F23" s="9">
        <v>160</v>
      </c>
    </row>
  </sheetData>
  <mergeCells count="1">
    <mergeCell ref="A14:F1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1"/>
  <sheetViews>
    <sheetView tabSelected="1" workbookViewId="0">
      <selection activeCell="P20" sqref="P20"/>
    </sheetView>
  </sheetViews>
  <sheetFormatPr defaultRowHeight="14.5" x14ac:dyDescent="0.35"/>
  <cols>
    <col min="1" max="2" width="10.453125" bestFit="1" customWidth="1"/>
    <col min="3" max="3" width="5.36328125" bestFit="1" customWidth="1"/>
    <col min="4" max="4" width="7.81640625" bestFit="1" customWidth="1"/>
    <col min="5" max="5" width="11.81640625" bestFit="1" customWidth="1"/>
    <col min="18" max="19" width="10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2" ht="15" thickBot="1" x14ac:dyDescent="0.4">
      <c r="A2" s="1">
        <v>43840</v>
      </c>
      <c r="B2" s="1">
        <v>44001</v>
      </c>
      <c r="C2">
        <v>25</v>
      </c>
      <c r="D2">
        <v>300.73</v>
      </c>
      <c r="E2">
        <v>3.1011831998730801</v>
      </c>
    </row>
    <row r="3" spans="1:22" x14ac:dyDescent="0.35">
      <c r="A3" s="1">
        <v>43840</v>
      </c>
      <c r="B3" s="1">
        <v>44001</v>
      </c>
      <c r="C3">
        <v>30</v>
      </c>
      <c r="D3">
        <v>295.74</v>
      </c>
      <c r="E3">
        <v>2.8980954587711101</v>
      </c>
      <c r="R3" s="10" t="s">
        <v>0</v>
      </c>
      <c r="S3" s="11" t="s">
        <v>1</v>
      </c>
      <c r="T3" s="11" t="s">
        <v>2</v>
      </c>
      <c r="U3" s="11" t="s">
        <v>3</v>
      </c>
      <c r="V3" s="11" t="s">
        <v>4</v>
      </c>
    </row>
    <row r="4" spans="1:22" x14ac:dyDescent="0.35">
      <c r="A4" s="1">
        <v>43840</v>
      </c>
      <c r="B4" s="1">
        <v>44001</v>
      </c>
      <c r="C4">
        <v>35</v>
      </c>
      <c r="D4">
        <v>290.76</v>
      </c>
      <c r="E4">
        <v>2.7243763575946298</v>
      </c>
      <c r="R4" s="12"/>
      <c r="S4" s="12"/>
      <c r="T4" s="12"/>
      <c r="U4" s="12"/>
      <c r="V4" s="12"/>
    </row>
    <row r="5" spans="1:22" x14ac:dyDescent="0.35">
      <c r="A5" s="1">
        <v>43840</v>
      </c>
      <c r="B5" s="1">
        <v>44001</v>
      </c>
      <c r="C5">
        <v>40</v>
      </c>
      <c r="D5">
        <v>285.77499999999998</v>
      </c>
      <c r="E5">
        <v>2.5715584147647301</v>
      </c>
      <c r="R5" s="13">
        <v>43840</v>
      </c>
      <c r="S5" s="13">
        <v>44001</v>
      </c>
      <c r="T5" s="14">
        <v>32</v>
      </c>
      <c r="U5" s="15">
        <v>295.74</v>
      </c>
      <c r="V5" s="16">
        <v>2.8980954587711101</v>
      </c>
    </row>
    <row r="6" spans="1:22" x14ac:dyDescent="0.35">
      <c r="A6" s="1">
        <v>43840</v>
      </c>
      <c r="B6" s="1">
        <v>44001</v>
      </c>
      <c r="C6">
        <v>45</v>
      </c>
      <c r="D6">
        <v>280.79000000000002</v>
      </c>
      <c r="E6">
        <v>2.4353220607572301</v>
      </c>
      <c r="R6" s="13">
        <v>43840</v>
      </c>
      <c r="S6" s="13">
        <v>44001</v>
      </c>
      <c r="T6" s="14">
        <v>64</v>
      </c>
      <c r="U6" s="15">
        <v>265.84500000000003</v>
      </c>
      <c r="V6" s="16">
        <v>2.0978244597724598</v>
      </c>
    </row>
    <row r="7" spans="1:22" x14ac:dyDescent="0.35">
      <c r="A7" s="1">
        <v>43840</v>
      </c>
      <c r="B7" s="1">
        <v>44001</v>
      </c>
      <c r="C7">
        <v>50</v>
      </c>
      <c r="D7">
        <v>275.81</v>
      </c>
      <c r="E7">
        <v>2.3126645601822902</v>
      </c>
      <c r="R7" s="13">
        <v>43840</v>
      </c>
      <c r="S7" s="13">
        <v>44001</v>
      </c>
      <c r="T7" s="14">
        <v>96</v>
      </c>
      <c r="U7" s="15">
        <v>230.98500000000001</v>
      </c>
      <c r="V7" s="16">
        <v>1.54556811235526</v>
      </c>
    </row>
    <row r="8" spans="1:22" x14ac:dyDescent="0.35">
      <c r="A8" s="1">
        <v>43840</v>
      </c>
      <c r="B8" s="1">
        <v>44001</v>
      </c>
      <c r="C8">
        <v>55</v>
      </c>
      <c r="D8">
        <v>270.82499999999999</v>
      </c>
      <c r="E8">
        <v>2.2005671018386002</v>
      </c>
      <c r="R8" s="13">
        <v>43840</v>
      </c>
      <c r="S8" s="13">
        <v>44001</v>
      </c>
      <c r="T8" s="14">
        <v>128</v>
      </c>
      <c r="U8" s="15">
        <v>201.11</v>
      </c>
      <c r="V8" s="16">
        <v>1.20943967304397</v>
      </c>
    </row>
    <row r="9" spans="1:22" x14ac:dyDescent="0.35">
      <c r="A9" s="1">
        <v>43840</v>
      </c>
      <c r="B9" s="1">
        <v>44001</v>
      </c>
      <c r="C9">
        <v>60</v>
      </c>
      <c r="D9">
        <v>265.84500000000003</v>
      </c>
      <c r="E9">
        <v>2.0978244597724598</v>
      </c>
      <c r="R9" s="13">
        <v>43840</v>
      </c>
      <c r="S9" s="13">
        <v>44001</v>
      </c>
      <c r="T9" s="14">
        <v>160</v>
      </c>
      <c r="U9" s="15">
        <v>166.26499999999999</v>
      </c>
      <c r="V9" s="16">
        <v>0.90421887808578305</v>
      </c>
    </row>
    <row r="10" spans="1:22" x14ac:dyDescent="0.35">
      <c r="A10" s="1">
        <v>43840</v>
      </c>
      <c r="B10" s="1">
        <v>44001</v>
      </c>
      <c r="C10">
        <v>65</v>
      </c>
      <c r="D10">
        <v>260.86500000000001</v>
      </c>
      <c r="E10">
        <v>2.0027607564302099</v>
      </c>
      <c r="R10" s="13">
        <v>43840</v>
      </c>
      <c r="S10" s="13">
        <v>44001</v>
      </c>
      <c r="T10" s="14">
        <v>192</v>
      </c>
      <c r="U10" s="15">
        <v>136.42500000000001</v>
      </c>
      <c r="V10" s="16">
        <v>0.69111516710849796</v>
      </c>
    </row>
    <row r="11" spans="1:22" x14ac:dyDescent="0.35">
      <c r="A11" s="1">
        <v>43840</v>
      </c>
      <c r="B11" s="1">
        <v>44001</v>
      </c>
      <c r="C11">
        <v>70</v>
      </c>
      <c r="D11">
        <v>255.88499999999999</v>
      </c>
      <c r="E11">
        <v>1.9142929983693999</v>
      </c>
      <c r="R11" s="13">
        <v>43840</v>
      </c>
      <c r="S11" s="13">
        <v>44001</v>
      </c>
      <c r="T11" s="14">
        <v>224</v>
      </c>
      <c r="U11" s="15">
        <v>106.705</v>
      </c>
      <c r="V11" s="16">
        <v>0.51150852729533203</v>
      </c>
    </row>
    <row r="12" spans="1:22" x14ac:dyDescent="0.35">
      <c r="A12" s="1">
        <v>43840</v>
      </c>
      <c r="B12" s="1">
        <v>44001</v>
      </c>
      <c r="C12">
        <v>75</v>
      </c>
      <c r="D12">
        <v>250.905</v>
      </c>
      <c r="E12">
        <v>1.8315615608133899</v>
      </c>
      <c r="R12" s="13">
        <v>43840</v>
      </c>
      <c r="S12" s="13">
        <v>44001</v>
      </c>
      <c r="T12" s="14">
        <v>256</v>
      </c>
      <c r="U12" s="15">
        <v>72.56</v>
      </c>
      <c r="V12" s="16">
        <v>0.34092466766163898</v>
      </c>
    </row>
    <row r="13" spans="1:22" x14ac:dyDescent="0.35">
      <c r="A13" s="1">
        <v>43840</v>
      </c>
      <c r="B13" s="1">
        <v>44001</v>
      </c>
      <c r="C13">
        <v>80</v>
      </c>
      <c r="D13">
        <v>245.92500000000001</v>
      </c>
      <c r="E13">
        <v>1.7538554386210199</v>
      </c>
      <c r="R13" s="13">
        <v>43840</v>
      </c>
      <c r="S13" s="13">
        <v>44001</v>
      </c>
      <c r="T13" s="14">
        <v>288</v>
      </c>
      <c r="U13" s="15">
        <v>42.08</v>
      </c>
      <c r="V13" s="16">
        <v>0.225481118982473</v>
      </c>
    </row>
    <row r="14" spans="1:22" x14ac:dyDescent="0.35">
      <c r="A14" s="1">
        <v>43840</v>
      </c>
      <c r="B14" s="1">
        <v>44001</v>
      </c>
      <c r="C14">
        <v>85</v>
      </c>
      <c r="D14">
        <v>240.94499999999999</v>
      </c>
      <c r="E14">
        <v>1.6805998927199099</v>
      </c>
      <c r="R14" s="13">
        <v>43840</v>
      </c>
      <c r="S14" s="13">
        <v>44001</v>
      </c>
      <c r="T14" s="14">
        <v>320</v>
      </c>
      <c r="U14" s="15">
        <v>15.945</v>
      </c>
      <c r="V14" s="16">
        <v>0.14543256800898</v>
      </c>
    </row>
    <row r="15" spans="1:22" x14ac:dyDescent="0.35">
      <c r="A15" s="1">
        <v>43840</v>
      </c>
      <c r="B15" s="1">
        <v>44001</v>
      </c>
      <c r="C15">
        <v>90</v>
      </c>
      <c r="D15">
        <v>235.965</v>
      </c>
      <c r="E15">
        <v>1.6113067074679099</v>
      </c>
      <c r="R15" s="13">
        <v>43840</v>
      </c>
      <c r="S15" s="13">
        <v>44001</v>
      </c>
      <c r="T15" s="14">
        <v>352</v>
      </c>
      <c r="U15" s="15">
        <v>1.45</v>
      </c>
      <c r="V15" s="16">
        <v>0.121851081495001</v>
      </c>
    </row>
    <row r="16" spans="1:22" x14ac:dyDescent="0.35">
      <c r="A16" s="1">
        <v>43840</v>
      </c>
      <c r="B16" s="1">
        <v>44001</v>
      </c>
      <c r="C16">
        <v>95</v>
      </c>
      <c r="D16">
        <v>230.98500000000001</v>
      </c>
      <c r="E16">
        <v>1.54556811235526</v>
      </c>
      <c r="R16" s="13">
        <v>43840</v>
      </c>
      <c r="S16" s="13">
        <v>44001</v>
      </c>
      <c r="T16" s="14">
        <v>384</v>
      </c>
      <c r="U16" s="15">
        <v>0.12</v>
      </c>
      <c r="V16" s="16">
        <v>0.19740691931815499</v>
      </c>
    </row>
    <row r="17" spans="1:22" x14ac:dyDescent="0.35">
      <c r="A17" s="1">
        <v>43840</v>
      </c>
      <c r="B17" s="1">
        <v>44001</v>
      </c>
      <c r="C17">
        <v>100</v>
      </c>
      <c r="D17">
        <v>226.005</v>
      </c>
      <c r="E17">
        <v>1.4830352249057299</v>
      </c>
      <c r="R17" s="13">
        <v>43840</v>
      </c>
      <c r="S17" s="13">
        <v>44001</v>
      </c>
      <c r="T17" s="14">
        <v>416</v>
      </c>
      <c r="U17" s="15">
        <v>0.02</v>
      </c>
      <c r="V17" s="16">
        <v>0.30756813223783502</v>
      </c>
    </row>
    <row r="18" spans="1:22" ht="15" thickBot="1" x14ac:dyDescent="0.4">
      <c r="A18" s="1">
        <v>43840</v>
      </c>
      <c r="B18" s="1">
        <v>44001</v>
      </c>
      <c r="C18">
        <v>105</v>
      </c>
      <c r="D18">
        <v>221.03</v>
      </c>
      <c r="E18">
        <v>0.256338167899061</v>
      </c>
      <c r="R18" s="17" t="s">
        <v>14</v>
      </c>
      <c r="S18" s="17"/>
      <c r="T18" s="17"/>
      <c r="U18" s="17"/>
      <c r="V18" s="17"/>
    </row>
    <row r="19" spans="1:22" x14ac:dyDescent="0.35">
      <c r="A19" s="1">
        <v>43840</v>
      </c>
      <c r="B19" s="1">
        <v>44001</v>
      </c>
      <c r="C19">
        <v>110</v>
      </c>
      <c r="D19">
        <v>216.04499999999999</v>
      </c>
      <c r="E19">
        <v>1.3664322608287101</v>
      </c>
    </row>
    <row r="20" spans="1:22" ht="16" thickBot="1" x14ac:dyDescent="0.4">
      <c r="A20" s="1">
        <v>43840</v>
      </c>
      <c r="B20" s="1">
        <v>44001</v>
      </c>
      <c r="C20">
        <v>115</v>
      </c>
      <c r="D20">
        <v>211.065</v>
      </c>
      <c r="E20">
        <v>1.3118790869793799</v>
      </c>
      <c r="G20" s="5" t="s">
        <v>12</v>
      </c>
      <c r="H20" s="5"/>
      <c r="I20" s="5"/>
      <c r="J20" s="5"/>
      <c r="K20" s="5"/>
      <c r="L20" s="5"/>
    </row>
    <row r="21" spans="1:22" x14ac:dyDescent="0.35">
      <c r="A21" s="1">
        <v>43840</v>
      </c>
      <c r="B21" s="1">
        <v>44001</v>
      </c>
      <c r="C21">
        <v>120</v>
      </c>
      <c r="D21">
        <v>206.09</v>
      </c>
      <c r="E21">
        <v>1.2597230296567401</v>
      </c>
      <c r="G21" s="6" t="s">
        <v>2</v>
      </c>
      <c r="H21" s="6"/>
      <c r="I21" s="6" t="s">
        <v>3</v>
      </c>
      <c r="J21" s="6"/>
      <c r="K21" s="6" t="s">
        <v>4</v>
      </c>
      <c r="L21" s="6"/>
    </row>
    <row r="22" spans="1:22" x14ac:dyDescent="0.35">
      <c r="A22" s="1">
        <v>43840</v>
      </c>
      <c r="B22" s="1">
        <v>44001</v>
      </c>
      <c r="C22">
        <v>125</v>
      </c>
      <c r="D22">
        <v>201.11</v>
      </c>
      <c r="E22">
        <v>1.20943967304397</v>
      </c>
    </row>
    <row r="23" spans="1:22" x14ac:dyDescent="0.35">
      <c r="A23" s="1">
        <v>43840</v>
      </c>
      <c r="B23" s="1">
        <v>44001</v>
      </c>
      <c r="C23">
        <v>130</v>
      </c>
      <c r="D23">
        <v>196.13</v>
      </c>
      <c r="E23">
        <v>1.16105550874342</v>
      </c>
      <c r="G23" t="s">
        <v>5</v>
      </c>
      <c r="H23" s="7">
        <v>269.90625</v>
      </c>
      <c r="I23" t="s">
        <v>5</v>
      </c>
      <c r="J23" s="7">
        <v>70.467437500000017</v>
      </c>
      <c r="K23" t="s">
        <v>5</v>
      </c>
      <c r="L23" s="7">
        <v>0.49807740840966963</v>
      </c>
    </row>
    <row r="24" spans="1:22" x14ac:dyDescent="0.35">
      <c r="A24" s="1">
        <v>43840</v>
      </c>
      <c r="B24" s="1">
        <v>44001</v>
      </c>
      <c r="C24">
        <v>135</v>
      </c>
      <c r="D24">
        <v>191.15</v>
      </c>
      <c r="E24">
        <v>1.1144288328776399</v>
      </c>
      <c r="G24" s="8" t="s">
        <v>13</v>
      </c>
      <c r="H24" s="7">
        <v>98.390621636925488</v>
      </c>
      <c r="I24" s="8" t="s">
        <v>13</v>
      </c>
      <c r="J24" s="7">
        <v>85.226563360241883</v>
      </c>
      <c r="K24" s="8" t="s">
        <v>13</v>
      </c>
      <c r="L24" s="7">
        <v>0.62862611879279695</v>
      </c>
    </row>
    <row r="25" spans="1:22" x14ac:dyDescent="0.35">
      <c r="A25" s="1">
        <v>43840</v>
      </c>
      <c r="B25" s="1">
        <v>44001</v>
      </c>
      <c r="C25">
        <v>140</v>
      </c>
      <c r="D25">
        <v>186.17500000000001</v>
      </c>
      <c r="E25">
        <v>1.06959416852232</v>
      </c>
      <c r="G25" t="s">
        <v>7</v>
      </c>
      <c r="H25" s="7">
        <v>1.4027847408662808E-2</v>
      </c>
      <c r="I25" t="s">
        <v>7</v>
      </c>
      <c r="J25" s="7">
        <v>0.48706954163315919</v>
      </c>
      <c r="K25" t="s">
        <v>7</v>
      </c>
      <c r="L25" s="7">
        <v>4.7215675728106783</v>
      </c>
    </row>
    <row r="26" spans="1:22" x14ac:dyDescent="0.35">
      <c r="A26" s="1">
        <v>43840</v>
      </c>
      <c r="B26" s="1">
        <v>44001</v>
      </c>
      <c r="C26">
        <v>145</v>
      </c>
      <c r="D26">
        <v>181.19499999999999</v>
      </c>
      <c r="E26">
        <v>1.0261251710320101</v>
      </c>
      <c r="G26" t="s">
        <v>8</v>
      </c>
      <c r="H26" s="7">
        <v>-0.87248942852440203</v>
      </c>
      <c r="I26" t="s">
        <v>8</v>
      </c>
      <c r="J26" s="7">
        <v>1.3183007998407534</v>
      </c>
      <c r="K26" t="s">
        <v>8</v>
      </c>
      <c r="L26" s="7">
        <v>2.2825992261347694</v>
      </c>
    </row>
    <row r="27" spans="1:22" x14ac:dyDescent="0.35">
      <c r="A27" s="1">
        <v>43840</v>
      </c>
      <c r="B27" s="1">
        <v>44001</v>
      </c>
      <c r="C27">
        <v>150</v>
      </c>
      <c r="D27">
        <v>176.215</v>
      </c>
      <c r="E27">
        <v>0.98408422154549102</v>
      </c>
      <c r="G27" t="s">
        <v>9</v>
      </c>
      <c r="H27">
        <v>25</v>
      </c>
      <c r="I27" t="s">
        <v>9</v>
      </c>
      <c r="J27">
        <v>0.01</v>
      </c>
      <c r="K27" t="s">
        <v>9</v>
      </c>
      <c r="L27" s="7">
        <v>0.115197889663959</v>
      </c>
    </row>
    <row r="28" spans="1:22" x14ac:dyDescent="0.35">
      <c r="A28" s="1">
        <v>43840</v>
      </c>
      <c r="B28" s="1">
        <v>44001</v>
      </c>
      <c r="C28">
        <v>155</v>
      </c>
      <c r="D28">
        <v>171.24</v>
      </c>
      <c r="E28">
        <v>0.943529030035137</v>
      </c>
      <c r="G28" t="s">
        <v>10</v>
      </c>
      <c r="H28">
        <v>440</v>
      </c>
      <c r="I28" t="s">
        <v>10</v>
      </c>
      <c r="J28">
        <v>300.73</v>
      </c>
      <c r="K28" t="s">
        <v>10</v>
      </c>
      <c r="L28" s="7">
        <v>3.1011831998730801</v>
      </c>
    </row>
    <row r="29" spans="1:22" ht="15" thickBot="1" x14ac:dyDescent="0.4">
      <c r="A29" s="1">
        <v>43840</v>
      </c>
      <c r="B29" s="1">
        <v>44001</v>
      </c>
      <c r="C29">
        <v>160</v>
      </c>
      <c r="D29">
        <v>166.26499999999999</v>
      </c>
      <c r="E29">
        <v>0.90421887808578305</v>
      </c>
      <c r="G29" s="9" t="s">
        <v>11</v>
      </c>
      <c r="H29" s="9">
        <v>160</v>
      </c>
      <c r="I29" s="9" t="s">
        <v>11</v>
      </c>
      <c r="J29" s="9">
        <v>160</v>
      </c>
      <c r="K29" s="9" t="s">
        <v>11</v>
      </c>
      <c r="L29" s="9">
        <v>160</v>
      </c>
    </row>
    <row r="30" spans="1:22" x14ac:dyDescent="0.35">
      <c r="A30" s="1">
        <v>43840</v>
      </c>
      <c r="B30" s="1">
        <v>44001</v>
      </c>
      <c r="C30">
        <v>165</v>
      </c>
      <c r="D30">
        <v>161.285</v>
      </c>
      <c r="E30">
        <v>0.865943043097266</v>
      </c>
    </row>
    <row r="31" spans="1:22" x14ac:dyDescent="0.35">
      <c r="A31" s="1">
        <v>43840</v>
      </c>
      <c r="B31" s="1">
        <v>44001</v>
      </c>
      <c r="C31">
        <v>170</v>
      </c>
      <c r="D31">
        <v>156.315</v>
      </c>
      <c r="E31">
        <v>0.82905638591143804</v>
      </c>
    </row>
    <row r="32" spans="1:22" x14ac:dyDescent="0.35">
      <c r="A32" s="1">
        <v>43840</v>
      </c>
      <c r="B32" s="1">
        <v>44001</v>
      </c>
      <c r="C32">
        <v>175</v>
      </c>
      <c r="D32">
        <v>151.33500000000001</v>
      </c>
      <c r="E32">
        <v>0.79293905800464604</v>
      </c>
    </row>
    <row r="33" spans="1:5" x14ac:dyDescent="0.35">
      <c r="A33" s="1">
        <v>43840</v>
      </c>
      <c r="B33" s="1">
        <v>44001</v>
      </c>
      <c r="C33">
        <v>180</v>
      </c>
      <c r="D33">
        <v>146.36500000000001</v>
      </c>
      <c r="E33">
        <v>0.75808268110428401</v>
      </c>
    </row>
    <row r="34" spans="1:5" x14ac:dyDescent="0.35">
      <c r="A34" s="1">
        <v>43840</v>
      </c>
      <c r="B34" s="1">
        <v>44001</v>
      </c>
      <c r="C34">
        <v>185</v>
      </c>
      <c r="D34">
        <v>141.39500000000001</v>
      </c>
      <c r="E34">
        <v>0.72415759083127396</v>
      </c>
    </row>
    <row r="35" spans="1:5" x14ac:dyDescent="0.35">
      <c r="A35" s="1">
        <v>43840</v>
      </c>
      <c r="B35" s="1">
        <v>44001</v>
      </c>
      <c r="C35">
        <v>190</v>
      </c>
      <c r="D35">
        <v>136.42500000000001</v>
      </c>
      <c r="E35">
        <v>0.69111516710849796</v>
      </c>
    </row>
    <row r="36" spans="1:5" x14ac:dyDescent="0.35">
      <c r="A36" s="1">
        <v>43840</v>
      </c>
      <c r="B36" s="1">
        <v>44001</v>
      </c>
      <c r="C36">
        <v>195</v>
      </c>
      <c r="D36">
        <v>131.46</v>
      </c>
      <c r="E36">
        <v>0.65904112861586095</v>
      </c>
    </row>
    <row r="37" spans="1:5" x14ac:dyDescent="0.35">
      <c r="A37" s="1">
        <v>43840</v>
      </c>
      <c r="B37" s="1">
        <v>44001</v>
      </c>
      <c r="C37">
        <v>200</v>
      </c>
      <c r="D37">
        <v>126.495</v>
      </c>
      <c r="E37">
        <v>0.62776073980001701</v>
      </c>
    </row>
    <row r="38" spans="1:5" x14ac:dyDescent="0.35">
      <c r="A38" s="1">
        <v>43840</v>
      </c>
      <c r="B38" s="1">
        <v>44001</v>
      </c>
      <c r="C38">
        <v>205</v>
      </c>
      <c r="D38">
        <v>121.54</v>
      </c>
      <c r="E38">
        <v>0.59748257869511601</v>
      </c>
    </row>
    <row r="39" spans="1:5" x14ac:dyDescent="0.35">
      <c r="A39" s="1">
        <v>43840</v>
      </c>
      <c r="B39" s="1">
        <v>44001</v>
      </c>
      <c r="C39">
        <v>210</v>
      </c>
      <c r="D39">
        <v>116.59</v>
      </c>
      <c r="E39">
        <v>0.56804057238677397</v>
      </c>
    </row>
    <row r="40" spans="1:5" x14ac:dyDescent="0.35">
      <c r="A40" s="1">
        <v>43840</v>
      </c>
      <c r="B40" s="1">
        <v>44001</v>
      </c>
      <c r="C40">
        <v>215</v>
      </c>
      <c r="D40">
        <v>111.64</v>
      </c>
      <c r="E40">
        <v>0.53927432237461703</v>
      </c>
    </row>
    <row r="41" spans="1:5" x14ac:dyDescent="0.35">
      <c r="A41" s="1">
        <v>43840</v>
      </c>
      <c r="B41" s="1">
        <v>44001</v>
      </c>
      <c r="C41">
        <v>220</v>
      </c>
      <c r="D41">
        <v>106.705</v>
      </c>
      <c r="E41">
        <v>0.51150852729533203</v>
      </c>
    </row>
    <row r="42" spans="1:5" x14ac:dyDescent="0.35">
      <c r="A42" s="1">
        <v>43840</v>
      </c>
      <c r="B42" s="1">
        <v>44001</v>
      </c>
      <c r="C42">
        <v>225</v>
      </c>
      <c r="D42">
        <v>101.78</v>
      </c>
      <c r="E42">
        <v>0.48457939052858001</v>
      </c>
    </row>
    <row r="43" spans="1:5" x14ac:dyDescent="0.35">
      <c r="A43" s="1">
        <v>43840</v>
      </c>
      <c r="B43" s="1">
        <v>44001</v>
      </c>
      <c r="C43">
        <v>230</v>
      </c>
      <c r="D43">
        <v>96.86</v>
      </c>
      <c r="E43">
        <v>0.45833120465711302</v>
      </c>
    </row>
    <row r="44" spans="1:5" x14ac:dyDescent="0.35">
      <c r="A44" s="1">
        <v>43840</v>
      </c>
      <c r="B44" s="1">
        <v>44001</v>
      </c>
      <c r="C44">
        <v>235</v>
      </c>
      <c r="D44">
        <v>91.974999999999994</v>
      </c>
      <c r="E44">
        <v>0.43341009024583699</v>
      </c>
    </row>
    <row r="45" spans="1:5" x14ac:dyDescent="0.35">
      <c r="A45" s="1">
        <v>43840</v>
      </c>
      <c r="B45" s="1">
        <v>44001</v>
      </c>
      <c r="C45">
        <v>240</v>
      </c>
      <c r="D45">
        <v>87.094999999999999</v>
      </c>
      <c r="E45">
        <v>0.40908829150084902</v>
      </c>
    </row>
    <row r="46" spans="1:5" x14ac:dyDescent="0.35">
      <c r="A46" s="1">
        <v>43840</v>
      </c>
      <c r="B46" s="1">
        <v>44001</v>
      </c>
      <c r="C46">
        <v>245</v>
      </c>
      <c r="D46">
        <v>82.245000000000005</v>
      </c>
      <c r="E46">
        <v>0.385864294801115</v>
      </c>
    </row>
    <row r="47" spans="1:5" x14ac:dyDescent="0.35">
      <c r="A47" s="1">
        <v>43840</v>
      </c>
      <c r="B47" s="1">
        <v>44001</v>
      </c>
      <c r="C47">
        <v>250</v>
      </c>
      <c r="D47">
        <v>77.364999999999995</v>
      </c>
      <c r="E47">
        <v>0.36242120077269502</v>
      </c>
    </row>
    <row r="48" spans="1:5" x14ac:dyDescent="0.35">
      <c r="A48" s="1">
        <v>43840</v>
      </c>
      <c r="B48" s="1">
        <v>44001</v>
      </c>
      <c r="C48">
        <v>255</v>
      </c>
      <c r="D48">
        <v>72.56</v>
      </c>
      <c r="E48">
        <v>0.34092466766163898</v>
      </c>
    </row>
    <row r="49" spans="1:5" x14ac:dyDescent="0.35">
      <c r="A49" s="1">
        <v>43840</v>
      </c>
      <c r="B49" s="1">
        <v>44001</v>
      </c>
      <c r="C49">
        <v>260</v>
      </c>
      <c r="D49">
        <v>67.81</v>
      </c>
      <c r="E49">
        <v>0.32082844081366402</v>
      </c>
    </row>
    <row r="50" spans="1:5" x14ac:dyDescent="0.35">
      <c r="A50" s="1">
        <v>43840</v>
      </c>
      <c r="B50" s="1">
        <v>44001</v>
      </c>
      <c r="C50">
        <v>264</v>
      </c>
      <c r="D50">
        <v>64.03</v>
      </c>
      <c r="E50">
        <v>0.30529673354026998</v>
      </c>
    </row>
    <row r="51" spans="1:5" x14ac:dyDescent="0.35">
      <c r="A51" s="1">
        <v>43840</v>
      </c>
      <c r="B51" s="1">
        <v>44001</v>
      </c>
      <c r="C51">
        <v>265</v>
      </c>
      <c r="D51">
        <v>63.1</v>
      </c>
      <c r="E51">
        <v>0.30171913169186998</v>
      </c>
    </row>
    <row r="52" spans="1:5" x14ac:dyDescent="0.35">
      <c r="A52" s="1">
        <v>43840</v>
      </c>
      <c r="B52" s="1">
        <v>44001</v>
      </c>
      <c r="C52">
        <v>266</v>
      </c>
      <c r="D52">
        <v>62.15</v>
      </c>
      <c r="E52">
        <v>0.29776565627083001</v>
      </c>
    </row>
    <row r="53" spans="1:5" x14ac:dyDescent="0.35">
      <c r="A53" s="1">
        <v>43840</v>
      </c>
      <c r="B53" s="1">
        <v>44001</v>
      </c>
      <c r="C53">
        <v>267</v>
      </c>
      <c r="D53">
        <v>61.22</v>
      </c>
      <c r="E53">
        <v>0.29419378195137502</v>
      </c>
    </row>
    <row r="54" spans="1:5" x14ac:dyDescent="0.35">
      <c r="A54" s="1">
        <v>43840</v>
      </c>
      <c r="B54" s="1">
        <v>44001</v>
      </c>
      <c r="C54">
        <v>268</v>
      </c>
      <c r="D54">
        <v>60.28</v>
      </c>
      <c r="E54">
        <v>0.29043870999737198</v>
      </c>
    </row>
    <row r="55" spans="1:5" x14ac:dyDescent="0.35">
      <c r="A55" s="1">
        <v>43840</v>
      </c>
      <c r="B55" s="1">
        <v>44001</v>
      </c>
      <c r="C55">
        <v>269</v>
      </c>
      <c r="D55">
        <v>59.35</v>
      </c>
      <c r="E55">
        <v>0.286873547473872</v>
      </c>
    </row>
    <row r="56" spans="1:5" x14ac:dyDescent="0.35">
      <c r="A56" s="1">
        <v>43840</v>
      </c>
      <c r="B56" s="1">
        <v>44001</v>
      </c>
      <c r="C56">
        <v>270</v>
      </c>
      <c r="D56">
        <v>58.42</v>
      </c>
      <c r="E56">
        <v>0.28331010386012201</v>
      </c>
    </row>
    <row r="57" spans="1:5" x14ac:dyDescent="0.35">
      <c r="A57" s="1">
        <v>43840</v>
      </c>
      <c r="B57" s="1">
        <v>44001</v>
      </c>
      <c r="C57">
        <v>271</v>
      </c>
      <c r="D57">
        <v>57.49</v>
      </c>
      <c r="E57">
        <v>0.27974815970394801</v>
      </c>
    </row>
    <row r="58" spans="1:5" x14ac:dyDescent="0.35">
      <c r="A58" s="1">
        <v>43840</v>
      </c>
      <c r="B58" s="1">
        <v>44001</v>
      </c>
      <c r="C58">
        <v>272</v>
      </c>
      <c r="D58">
        <v>56.56</v>
      </c>
      <c r="E58">
        <v>0.27618748920459801</v>
      </c>
    </row>
    <row r="59" spans="1:5" x14ac:dyDescent="0.35">
      <c r="A59" s="1">
        <v>43840</v>
      </c>
      <c r="B59" s="1">
        <v>44001</v>
      </c>
      <c r="C59">
        <v>273</v>
      </c>
      <c r="D59">
        <v>55.645000000000003</v>
      </c>
      <c r="E59">
        <v>0.272896904551094</v>
      </c>
    </row>
    <row r="60" spans="1:5" x14ac:dyDescent="0.35">
      <c r="A60" s="1">
        <v>43840</v>
      </c>
      <c r="B60" s="1">
        <v>44001</v>
      </c>
      <c r="C60">
        <v>274</v>
      </c>
      <c r="D60">
        <v>54.725000000000001</v>
      </c>
      <c r="E60">
        <v>0.26951380561941701</v>
      </c>
    </row>
    <row r="61" spans="1:5" x14ac:dyDescent="0.35">
      <c r="A61" s="1">
        <v>43840</v>
      </c>
      <c r="B61" s="1">
        <v>44001</v>
      </c>
      <c r="C61">
        <v>275</v>
      </c>
      <c r="D61">
        <v>53.8</v>
      </c>
      <c r="E61">
        <v>0.26604021776589798</v>
      </c>
    </row>
    <row r="62" spans="1:5" x14ac:dyDescent="0.35">
      <c r="A62" s="1">
        <v>43840</v>
      </c>
      <c r="B62" s="1">
        <v>44001</v>
      </c>
      <c r="C62">
        <v>276</v>
      </c>
      <c r="D62">
        <v>52.884999999999998</v>
      </c>
      <c r="E62">
        <v>0.26274040517189501</v>
      </c>
    </row>
    <row r="63" spans="1:5" x14ac:dyDescent="0.35">
      <c r="A63" s="1">
        <v>43840</v>
      </c>
      <c r="B63" s="1">
        <v>44001</v>
      </c>
      <c r="C63">
        <v>277</v>
      </c>
      <c r="D63">
        <v>51.965000000000003</v>
      </c>
      <c r="E63">
        <v>0.25934963208886802</v>
      </c>
    </row>
    <row r="64" spans="1:5" x14ac:dyDescent="0.35">
      <c r="A64" s="1">
        <v>43840</v>
      </c>
      <c r="B64" s="1">
        <v>44001</v>
      </c>
      <c r="C64">
        <v>278</v>
      </c>
      <c r="D64">
        <v>51.06</v>
      </c>
      <c r="E64">
        <v>0.25621358010385797</v>
      </c>
    </row>
    <row r="65" spans="1:5" x14ac:dyDescent="0.35">
      <c r="A65" s="1">
        <v>43840</v>
      </c>
      <c r="B65" s="1">
        <v>44001</v>
      </c>
      <c r="C65">
        <v>279</v>
      </c>
      <c r="D65">
        <v>50.145000000000003</v>
      </c>
      <c r="E65">
        <v>0.25289944264078301</v>
      </c>
    </row>
    <row r="66" spans="1:5" x14ac:dyDescent="0.35">
      <c r="A66" s="1">
        <v>43840</v>
      </c>
      <c r="B66" s="1">
        <v>44001</v>
      </c>
      <c r="C66">
        <v>280</v>
      </c>
      <c r="D66">
        <v>49.244999999999997</v>
      </c>
      <c r="E66">
        <v>0.24983344237225499</v>
      </c>
    </row>
    <row r="67" spans="1:5" x14ac:dyDescent="0.35">
      <c r="A67" s="1">
        <v>43840</v>
      </c>
      <c r="B67" s="1">
        <v>44001</v>
      </c>
      <c r="C67">
        <v>281</v>
      </c>
      <c r="D67">
        <v>48.335000000000001</v>
      </c>
      <c r="E67">
        <v>0.24659066338610799</v>
      </c>
    </row>
    <row r="68" spans="1:5" x14ac:dyDescent="0.35">
      <c r="A68" s="1">
        <v>43840</v>
      </c>
      <c r="B68" s="1">
        <v>44001</v>
      </c>
      <c r="C68">
        <v>282</v>
      </c>
      <c r="D68">
        <v>47.435000000000002</v>
      </c>
      <c r="E68">
        <v>0.243506039239165</v>
      </c>
    </row>
    <row r="69" spans="1:5" x14ac:dyDescent="0.35">
      <c r="A69" s="1">
        <v>43840</v>
      </c>
      <c r="B69" s="1">
        <v>44001</v>
      </c>
      <c r="C69">
        <v>283</v>
      </c>
      <c r="D69">
        <v>46.53</v>
      </c>
      <c r="E69">
        <v>0.240329301599703</v>
      </c>
    </row>
    <row r="70" spans="1:5" x14ac:dyDescent="0.35">
      <c r="A70" s="1">
        <v>43840</v>
      </c>
      <c r="B70" s="1">
        <v>44001</v>
      </c>
      <c r="C70">
        <v>284</v>
      </c>
      <c r="D70">
        <v>45.64</v>
      </c>
      <c r="E70">
        <v>0.23738743247022201</v>
      </c>
    </row>
    <row r="71" spans="1:5" x14ac:dyDescent="0.35">
      <c r="A71" s="1">
        <v>43840</v>
      </c>
      <c r="B71" s="1">
        <v>44001</v>
      </c>
      <c r="C71">
        <v>285</v>
      </c>
      <c r="D71">
        <v>44.744999999999997</v>
      </c>
      <c r="E71">
        <v>0.23435112535452601</v>
      </c>
    </row>
    <row r="72" spans="1:5" x14ac:dyDescent="0.35">
      <c r="A72" s="1">
        <v>43840</v>
      </c>
      <c r="B72" s="1">
        <v>44001</v>
      </c>
      <c r="C72">
        <v>286</v>
      </c>
      <c r="D72">
        <v>43.86</v>
      </c>
      <c r="E72">
        <v>0.23146164744804201</v>
      </c>
    </row>
    <row r="73" spans="1:5" x14ac:dyDescent="0.35">
      <c r="A73" s="1">
        <v>43840</v>
      </c>
      <c r="B73" s="1">
        <v>44001</v>
      </c>
      <c r="C73">
        <v>287</v>
      </c>
      <c r="D73">
        <v>42.965000000000003</v>
      </c>
      <c r="E73">
        <v>0.22839838795564699</v>
      </c>
    </row>
    <row r="74" spans="1:5" x14ac:dyDescent="0.35">
      <c r="A74" s="1">
        <v>43840</v>
      </c>
      <c r="B74" s="1">
        <v>44001</v>
      </c>
      <c r="C74">
        <v>288</v>
      </c>
      <c r="D74">
        <v>42.08</v>
      </c>
      <c r="E74">
        <v>0.225481118982473</v>
      </c>
    </row>
    <row r="75" spans="1:5" x14ac:dyDescent="0.35">
      <c r="A75" s="1">
        <v>43840</v>
      </c>
      <c r="B75" s="1">
        <v>44001</v>
      </c>
      <c r="C75">
        <v>289</v>
      </c>
      <c r="D75">
        <v>41.195</v>
      </c>
      <c r="E75">
        <v>0.22254460173447499</v>
      </c>
    </row>
    <row r="76" spans="1:5" x14ac:dyDescent="0.35">
      <c r="A76" s="1">
        <v>43840</v>
      </c>
      <c r="B76" s="1">
        <v>44001</v>
      </c>
      <c r="C76">
        <v>290</v>
      </c>
      <c r="D76">
        <v>40.314999999999998</v>
      </c>
      <c r="E76">
        <v>0.21966804648739899</v>
      </c>
    </row>
    <row r="77" spans="1:5" x14ac:dyDescent="0.35">
      <c r="A77" s="1">
        <v>43840</v>
      </c>
      <c r="B77" s="1">
        <v>44001</v>
      </c>
      <c r="C77">
        <v>291</v>
      </c>
      <c r="D77">
        <v>39.424999999999997</v>
      </c>
      <c r="E77">
        <v>0.21662109356206399</v>
      </c>
    </row>
    <row r="78" spans="1:5" x14ac:dyDescent="0.35">
      <c r="A78" s="1">
        <v>43840</v>
      </c>
      <c r="B78" s="1">
        <v>44001</v>
      </c>
      <c r="C78">
        <v>292</v>
      </c>
      <c r="D78">
        <v>38.555</v>
      </c>
      <c r="E78">
        <v>0.21385904233564099</v>
      </c>
    </row>
    <row r="79" spans="1:5" x14ac:dyDescent="0.35">
      <c r="A79" s="1">
        <v>43840</v>
      </c>
      <c r="B79" s="1">
        <v>44001</v>
      </c>
      <c r="C79">
        <v>293</v>
      </c>
      <c r="D79">
        <v>37.695</v>
      </c>
      <c r="E79">
        <v>0.211223652051865</v>
      </c>
    </row>
    <row r="80" spans="1:5" x14ac:dyDescent="0.35">
      <c r="A80" s="1">
        <v>43840</v>
      </c>
      <c r="B80" s="1">
        <v>44001</v>
      </c>
      <c r="C80">
        <v>294</v>
      </c>
      <c r="D80">
        <v>36.82</v>
      </c>
      <c r="E80">
        <v>0.20834176114328601</v>
      </c>
    </row>
    <row r="81" spans="1:5" x14ac:dyDescent="0.35">
      <c r="A81" s="1">
        <v>43840</v>
      </c>
      <c r="B81" s="1">
        <v>44001</v>
      </c>
      <c r="C81">
        <v>295</v>
      </c>
      <c r="D81">
        <v>35.96</v>
      </c>
      <c r="E81">
        <v>0.20565733732411101</v>
      </c>
    </row>
    <row r="82" spans="1:5" x14ac:dyDescent="0.35">
      <c r="A82" s="1">
        <v>43840</v>
      </c>
      <c r="B82" s="1">
        <v>44001</v>
      </c>
      <c r="C82">
        <v>296</v>
      </c>
      <c r="D82">
        <v>35.104999999999997</v>
      </c>
      <c r="E82">
        <v>0.203018214388688</v>
      </c>
    </row>
    <row r="83" spans="1:5" x14ac:dyDescent="0.35">
      <c r="A83" s="1">
        <v>43840</v>
      </c>
      <c r="B83" s="1">
        <v>44001</v>
      </c>
      <c r="C83">
        <v>297</v>
      </c>
      <c r="D83">
        <v>34.24</v>
      </c>
      <c r="E83">
        <v>0.20021046093217401</v>
      </c>
    </row>
    <row r="84" spans="1:5" x14ac:dyDescent="0.35">
      <c r="A84" s="1">
        <v>43840</v>
      </c>
      <c r="B84" s="1">
        <v>44001</v>
      </c>
      <c r="C84">
        <v>298</v>
      </c>
      <c r="D84">
        <v>33.39</v>
      </c>
      <c r="E84">
        <v>0.19758631222782799</v>
      </c>
    </row>
    <row r="85" spans="1:5" x14ac:dyDescent="0.35">
      <c r="A85" s="1">
        <v>43840</v>
      </c>
      <c r="B85" s="1">
        <v>44001</v>
      </c>
      <c r="C85">
        <v>299</v>
      </c>
      <c r="D85">
        <v>32.549999999999997</v>
      </c>
      <c r="E85">
        <v>0.19507399033612699</v>
      </c>
    </row>
    <row r="86" spans="1:5" x14ac:dyDescent="0.35">
      <c r="A86" s="1">
        <v>43840</v>
      </c>
      <c r="B86" s="1">
        <v>44001</v>
      </c>
      <c r="C86">
        <v>300</v>
      </c>
      <c r="D86">
        <v>31.7</v>
      </c>
      <c r="E86">
        <v>0.19238955151133799</v>
      </c>
    </row>
    <row r="87" spans="1:5" x14ac:dyDescent="0.35">
      <c r="A87" s="1">
        <v>43840</v>
      </c>
      <c r="B87" s="1">
        <v>44001</v>
      </c>
      <c r="C87">
        <v>301</v>
      </c>
      <c r="D87">
        <v>30.855</v>
      </c>
      <c r="E87">
        <v>0.18974318923358199</v>
      </c>
    </row>
    <row r="88" spans="1:5" x14ac:dyDescent="0.35">
      <c r="A88" s="1">
        <v>43840</v>
      </c>
      <c r="B88" s="1">
        <v>44001</v>
      </c>
      <c r="C88">
        <v>302</v>
      </c>
      <c r="D88">
        <v>30.024999999999999</v>
      </c>
      <c r="E88">
        <v>0.18726703855965399</v>
      </c>
    </row>
    <row r="89" spans="1:5" x14ac:dyDescent="0.35">
      <c r="A89" s="1">
        <v>43840</v>
      </c>
      <c r="B89" s="1">
        <v>44001</v>
      </c>
      <c r="C89">
        <v>303</v>
      </c>
      <c r="D89">
        <v>29.184999999999999</v>
      </c>
      <c r="E89">
        <v>0.18461854552626999</v>
      </c>
    </row>
    <row r="90" spans="1:5" x14ac:dyDescent="0.35">
      <c r="A90" s="1">
        <v>43840</v>
      </c>
      <c r="B90" s="1">
        <v>44001</v>
      </c>
      <c r="C90">
        <v>304</v>
      </c>
      <c r="D90">
        <v>28.364999999999998</v>
      </c>
      <c r="E90">
        <v>0.18220151424734199</v>
      </c>
    </row>
    <row r="91" spans="1:5" x14ac:dyDescent="0.35">
      <c r="A91" s="1">
        <v>43840</v>
      </c>
      <c r="B91" s="1">
        <v>44001</v>
      </c>
      <c r="C91">
        <v>305</v>
      </c>
      <c r="D91">
        <v>27.54</v>
      </c>
      <c r="E91">
        <v>0.17967751269457999</v>
      </c>
    </row>
    <row r="92" spans="1:5" x14ac:dyDescent="0.35">
      <c r="A92" s="1">
        <v>43840</v>
      </c>
      <c r="B92" s="1">
        <v>44001</v>
      </c>
      <c r="C92">
        <v>306</v>
      </c>
      <c r="D92">
        <v>26.725000000000001</v>
      </c>
      <c r="E92">
        <v>0.17724391294505801</v>
      </c>
    </row>
    <row r="93" spans="1:5" x14ac:dyDescent="0.35">
      <c r="A93" s="1">
        <v>43840</v>
      </c>
      <c r="B93" s="1">
        <v>44001</v>
      </c>
      <c r="C93">
        <v>307</v>
      </c>
      <c r="D93">
        <v>25.92</v>
      </c>
      <c r="E93">
        <v>0.174896250702676</v>
      </c>
    </row>
    <row r="94" spans="1:5" x14ac:dyDescent="0.35">
      <c r="A94" s="1">
        <v>43840</v>
      </c>
      <c r="B94" s="1">
        <v>44001</v>
      </c>
      <c r="C94">
        <v>308</v>
      </c>
      <c r="D94">
        <v>25.12</v>
      </c>
      <c r="E94">
        <v>0.172566014963554</v>
      </c>
    </row>
    <row r="95" spans="1:5" x14ac:dyDescent="0.35">
      <c r="A95" s="1">
        <v>43840</v>
      </c>
      <c r="B95" s="1">
        <v>44001</v>
      </c>
      <c r="C95">
        <v>309</v>
      </c>
      <c r="D95">
        <v>24.315000000000001</v>
      </c>
      <c r="E95">
        <v>0.170123637416008</v>
      </c>
    </row>
    <row r="96" spans="1:5" x14ac:dyDescent="0.35">
      <c r="A96" s="1">
        <v>43840</v>
      </c>
      <c r="B96" s="1">
        <v>44001</v>
      </c>
      <c r="C96">
        <v>310</v>
      </c>
      <c r="D96">
        <v>23.515000000000001</v>
      </c>
      <c r="E96">
        <v>0.16769595244840599</v>
      </c>
    </row>
    <row r="97" spans="1:5" x14ac:dyDescent="0.35">
      <c r="A97" s="1">
        <v>43840</v>
      </c>
      <c r="B97" s="1">
        <v>44001</v>
      </c>
      <c r="C97">
        <v>311</v>
      </c>
      <c r="D97">
        <v>22.725000000000001</v>
      </c>
      <c r="E97">
        <v>0.16534272363552599</v>
      </c>
    </row>
    <row r="98" spans="1:5" x14ac:dyDescent="0.35">
      <c r="A98" s="1">
        <v>43840</v>
      </c>
      <c r="B98" s="1">
        <v>44001</v>
      </c>
      <c r="C98">
        <v>312</v>
      </c>
      <c r="D98">
        <v>21.945</v>
      </c>
      <c r="E98">
        <v>0.16305966535639899</v>
      </c>
    </row>
    <row r="99" spans="1:5" x14ac:dyDescent="0.35">
      <c r="A99" s="1">
        <v>43840</v>
      </c>
      <c r="B99" s="1">
        <v>44001</v>
      </c>
      <c r="C99">
        <v>313</v>
      </c>
      <c r="D99">
        <v>21.17</v>
      </c>
      <c r="E99">
        <v>0.16078124990877399</v>
      </c>
    </row>
    <row r="100" spans="1:5" x14ac:dyDescent="0.35">
      <c r="A100" s="1">
        <v>43840</v>
      </c>
      <c r="B100" s="1">
        <v>44001</v>
      </c>
      <c r="C100">
        <v>314</v>
      </c>
      <c r="D100">
        <v>20.39</v>
      </c>
      <c r="E100">
        <v>0.15838310719416801</v>
      </c>
    </row>
    <row r="101" spans="1:5" x14ac:dyDescent="0.35">
      <c r="A101" s="1">
        <v>43840</v>
      </c>
      <c r="B101" s="1">
        <v>44001</v>
      </c>
      <c r="C101">
        <v>315</v>
      </c>
      <c r="D101">
        <v>19.64</v>
      </c>
      <c r="E101">
        <v>0.156288022006976</v>
      </c>
    </row>
    <row r="102" spans="1:5" x14ac:dyDescent="0.35">
      <c r="A102" s="1">
        <v>43840</v>
      </c>
      <c r="B102" s="1">
        <v>44001</v>
      </c>
      <c r="C102">
        <v>316</v>
      </c>
      <c r="D102">
        <v>18.88</v>
      </c>
      <c r="E102">
        <v>0.15400701477120499</v>
      </c>
    </row>
    <row r="103" spans="1:5" x14ac:dyDescent="0.35">
      <c r="A103" s="1">
        <v>43840</v>
      </c>
      <c r="B103" s="1">
        <v>44001</v>
      </c>
      <c r="C103">
        <v>317</v>
      </c>
      <c r="D103">
        <v>18.14</v>
      </c>
      <c r="E103">
        <v>0.15189819560607701</v>
      </c>
    </row>
    <row r="104" spans="1:5" x14ac:dyDescent="0.35">
      <c r="A104" s="1">
        <v>43840</v>
      </c>
      <c r="B104" s="1">
        <v>44001</v>
      </c>
      <c r="C104">
        <v>318</v>
      </c>
      <c r="D104">
        <v>17.399999999999999</v>
      </c>
      <c r="E104">
        <v>0.14971872606025499</v>
      </c>
    </row>
    <row r="105" spans="1:5" x14ac:dyDescent="0.35">
      <c r="A105" s="1">
        <v>43840</v>
      </c>
      <c r="B105" s="1">
        <v>44001</v>
      </c>
      <c r="C105">
        <v>319</v>
      </c>
      <c r="D105">
        <v>16.664999999999999</v>
      </c>
      <c r="E105">
        <v>0.14752562979662301</v>
      </c>
    </row>
    <row r="106" spans="1:5" x14ac:dyDescent="0.35">
      <c r="A106" s="1">
        <v>43840</v>
      </c>
      <c r="B106" s="1">
        <v>44001</v>
      </c>
      <c r="C106">
        <v>320</v>
      </c>
      <c r="D106">
        <v>15.945</v>
      </c>
      <c r="E106">
        <v>0.14543256800898</v>
      </c>
    </row>
    <row r="107" spans="1:5" x14ac:dyDescent="0.35">
      <c r="A107" s="1">
        <v>43840</v>
      </c>
      <c r="B107" s="1">
        <v>44001</v>
      </c>
      <c r="C107">
        <v>321</v>
      </c>
      <c r="D107">
        <v>15.23</v>
      </c>
      <c r="E107">
        <v>0.14331841874669499</v>
      </c>
    </row>
    <row r="108" spans="1:5" x14ac:dyDescent="0.35">
      <c r="A108" s="1">
        <v>43840</v>
      </c>
      <c r="B108" s="1">
        <v>44001</v>
      </c>
      <c r="C108">
        <v>322</v>
      </c>
      <c r="D108">
        <v>14.53</v>
      </c>
      <c r="E108">
        <v>0.141295477383998</v>
      </c>
    </row>
    <row r="109" spans="1:5" x14ac:dyDescent="0.35">
      <c r="A109" s="1">
        <v>43840</v>
      </c>
      <c r="B109" s="1">
        <v>44001</v>
      </c>
      <c r="C109">
        <v>323</v>
      </c>
      <c r="D109">
        <v>13.84</v>
      </c>
      <c r="E109">
        <v>0.139300897141724</v>
      </c>
    </row>
    <row r="110" spans="1:5" x14ac:dyDescent="0.35">
      <c r="A110" s="1">
        <v>43840</v>
      </c>
      <c r="B110" s="1">
        <v>44001</v>
      </c>
      <c r="C110">
        <v>324</v>
      </c>
      <c r="D110">
        <v>13.154999999999999</v>
      </c>
      <c r="E110">
        <v>0.137276083903557</v>
      </c>
    </row>
    <row r="111" spans="1:5" x14ac:dyDescent="0.35">
      <c r="A111" s="1">
        <v>43840</v>
      </c>
      <c r="B111" s="1">
        <v>44001</v>
      </c>
      <c r="C111">
        <v>325</v>
      </c>
      <c r="D111">
        <v>12.494999999999999</v>
      </c>
      <c r="E111">
        <v>0.13544064085792401</v>
      </c>
    </row>
    <row r="112" spans="1:5" x14ac:dyDescent="0.35">
      <c r="A112" s="1">
        <v>43840</v>
      </c>
      <c r="B112" s="1">
        <v>44001</v>
      </c>
      <c r="C112">
        <v>326</v>
      </c>
      <c r="D112">
        <v>11.845000000000001</v>
      </c>
      <c r="E112">
        <v>0.13362177831323499</v>
      </c>
    </row>
    <row r="113" spans="1:5" x14ac:dyDescent="0.35">
      <c r="A113" s="1">
        <v>43840</v>
      </c>
      <c r="B113" s="1">
        <v>44001</v>
      </c>
      <c r="C113">
        <v>327</v>
      </c>
      <c r="D113">
        <v>11.205</v>
      </c>
      <c r="E113">
        <v>0.131815715433516</v>
      </c>
    </row>
    <row r="114" spans="1:5" x14ac:dyDescent="0.35">
      <c r="A114" s="1">
        <v>43840</v>
      </c>
      <c r="B114" s="1">
        <v>44001</v>
      </c>
      <c r="C114">
        <v>328</v>
      </c>
      <c r="D114">
        <v>10.574999999999999</v>
      </c>
      <c r="E114">
        <v>0.13001856803074799</v>
      </c>
    </row>
    <row r="115" spans="1:5" x14ac:dyDescent="0.35">
      <c r="A115" s="1">
        <v>43840</v>
      </c>
      <c r="B115" s="1">
        <v>44001</v>
      </c>
      <c r="C115">
        <v>329</v>
      </c>
      <c r="D115">
        <v>9.9749999999999996</v>
      </c>
      <c r="E115">
        <v>0.128450373987605</v>
      </c>
    </row>
    <row r="116" spans="1:5" x14ac:dyDescent="0.35">
      <c r="A116" s="1">
        <v>43840</v>
      </c>
      <c r="B116" s="1">
        <v>44001</v>
      </c>
      <c r="C116">
        <v>330</v>
      </c>
      <c r="D116">
        <v>9.3800000000000008</v>
      </c>
      <c r="E116">
        <v>0.12682800479781001</v>
      </c>
    </row>
    <row r="117" spans="1:5" x14ac:dyDescent="0.35">
      <c r="A117" s="1">
        <v>43840</v>
      </c>
      <c r="B117" s="1">
        <v>44001</v>
      </c>
      <c r="C117">
        <v>331</v>
      </c>
      <c r="D117">
        <v>8.8049999999999997</v>
      </c>
      <c r="E117">
        <v>0.125314830810452</v>
      </c>
    </row>
    <row r="118" spans="1:5" x14ac:dyDescent="0.35">
      <c r="A118" s="1">
        <v>43840</v>
      </c>
      <c r="B118" s="1">
        <v>44001</v>
      </c>
      <c r="C118">
        <v>332</v>
      </c>
      <c r="D118">
        <v>8.24</v>
      </c>
      <c r="E118">
        <v>0.123794466540102</v>
      </c>
    </row>
    <row r="119" spans="1:5" x14ac:dyDescent="0.35">
      <c r="A119" s="1">
        <v>43840</v>
      </c>
      <c r="B119" s="1">
        <v>44001</v>
      </c>
      <c r="C119">
        <v>333</v>
      </c>
      <c r="D119">
        <v>7.7</v>
      </c>
      <c r="E119">
        <v>0.122435478672501</v>
      </c>
    </row>
    <row r="120" spans="1:5" x14ac:dyDescent="0.35">
      <c r="A120" s="1">
        <v>43840</v>
      </c>
      <c r="B120" s="1">
        <v>44001</v>
      </c>
      <c r="C120">
        <v>334</v>
      </c>
      <c r="D120">
        <v>7.18</v>
      </c>
      <c r="E120">
        <v>0.121178775175337</v>
      </c>
    </row>
    <row r="121" spans="1:5" x14ac:dyDescent="0.35">
      <c r="A121" s="1">
        <v>43840</v>
      </c>
      <c r="B121" s="1">
        <v>44001</v>
      </c>
      <c r="C121">
        <v>335</v>
      </c>
      <c r="D121">
        <v>6.6749999999999998</v>
      </c>
      <c r="E121">
        <v>0.11996467287775101</v>
      </c>
    </row>
    <row r="122" spans="1:5" x14ac:dyDescent="0.35">
      <c r="A122" s="1">
        <v>43840</v>
      </c>
      <c r="B122" s="1">
        <v>44001</v>
      </c>
      <c r="C122">
        <v>336</v>
      </c>
      <c r="D122">
        <v>6.2</v>
      </c>
      <c r="E122">
        <v>0.11896713819423201</v>
      </c>
    </row>
    <row r="123" spans="1:5" x14ac:dyDescent="0.35">
      <c r="A123" s="1">
        <v>43840</v>
      </c>
      <c r="B123" s="1">
        <v>44001</v>
      </c>
      <c r="C123">
        <v>337</v>
      </c>
      <c r="D123">
        <v>5.74</v>
      </c>
      <c r="E123">
        <v>0.11801130508453</v>
      </c>
    </row>
    <row r="124" spans="1:5" x14ac:dyDescent="0.35">
      <c r="A124" s="1">
        <v>43840</v>
      </c>
      <c r="B124" s="1">
        <v>44001</v>
      </c>
      <c r="C124">
        <v>338</v>
      </c>
      <c r="D124">
        <v>5.3</v>
      </c>
      <c r="E124">
        <v>0.117156062886275</v>
      </c>
    </row>
    <row r="125" spans="1:5" x14ac:dyDescent="0.35">
      <c r="A125" s="1">
        <v>43840</v>
      </c>
      <c r="B125" s="1">
        <v>44001</v>
      </c>
      <c r="C125">
        <v>339</v>
      </c>
      <c r="D125">
        <v>4.8899999999999997</v>
      </c>
      <c r="E125">
        <v>0.116527570280493</v>
      </c>
    </row>
    <row r="126" spans="1:5" x14ac:dyDescent="0.35">
      <c r="A126" s="1">
        <v>43840</v>
      </c>
      <c r="B126" s="1">
        <v>44001</v>
      </c>
      <c r="C126">
        <v>340</v>
      </c>
      <c r="D126">
        <v>4.5</v>
      </c>
      <c r="E126">
        <v>0.116004065702555</v>
      </c>
    </row>
    <row r="127" spans="1:5" x14ac:dyDescent="0.35">
      <c r="A127" s="1">
        <v>43840</v>
      </c>
      <c r="B127" s="1">
        <v>44001</v>
      </c>
      <c r="C127">
        <v>341</v>
      </c>
      <c r="D127">
        <v>4.13</v>
      </c>
      <c r="E127">
        <v>0.11559431919520401</v>
      </c>
    </row>
    <row r="128" spans="1:5" x14ac:dyDescent="0.35">
      <c r="A128" s="1">
        <v>43840</v>
      </c>
      <c r="B128" s="1">
        <v>44001</v>
      </c>
      <c r="C128">
        <v>342</v>
      </c>
      <c r="D128">
        <v>3.78</v>
      </c>
      <c r="E128">
        <v>0.115302076711918</v>
      </c>
    </row>
    <row r="129" spans="1:5" x14ac:dyDescent="0.35">
      <c r="A129" s="1">
        <v>43840</v>
      </c>
      <c r="B129" s="1">
        <v>44001</v>
      </c>
      <c r="C129">
        <v>343</v>
      </c>
      <c r="D129">
        <v>3.4550000000000001</v>
      </c>
      <c r="E129">
        <v>0.115197889663959</v>
      </c>
    </row>
    <row r="130" spans="1:5" x14ac:dyDescent="0.35">
      <c r="A130" s="1">
        <v>43840</v>
      </c>
      <c r="B130" s="1">
        <v>44001</v>
      </c>
      <c r="C130">
        <v>344</v>
      </c>
      <c r="D130">
        <v>3.1549999999999998</v>
      </c>
      <c r="E130">
        <v>0.115292433944127</v>
      </c>
    </row>
    <row r="131" spans="1:5" x14ac:dyDescent="0.35">
      <c r="A131" s="1">
        <v>43840</v>
      </c>
      <c r="B131" s="1">
        <v>44001</v>
      </c>
      <c r="C131">
        <v>345</v>
      </c>
      <c r="D131">
        <v>2.87</v>
      </c>
      <c r="E131">
        <v>0.11546465816568501</v>
      </c>
    </row>
    <row r="132" spans="1:5" x14ac:dyDescent="0.35">
      <c r="A132" s="1">
        <v>43840</v>
      </c>
      <c r="B132" s="1">
        <v>44001</v>
      </c>
      <c r="C132">
        <v>346</v>
      </c>
      <c r="D132">
        <v>2.605</v>
      </c>
      <c r="E132">
        <v>0.115788866477707</v>
      </c>
    </row>
    <row r="133" spans="1:5" x14ac:dyDescent="0.35">
      <c r="A133" s="1">
        <v>43840</v>
      </c>
      <c r="B133" s="1">
        <v>44001</v>
      </c>
      <c r="C133">
        <v>347</v>
      </c>
      <c r="D133">
        <v>2.37</v>
      </c>
      <c r="E133">
        <v>0.116414545195835</v>
      </c>
    </row>
    <row r="134" spans="1:5" x14ac:dyDescent="0.35">
      <c r="A134" s="1">
        <v>43840</v>
      </c>
      <c r="B134" s="1">
        <v>44001</v>
      </c>
      <c r="C134">
        <v>348</v>
      </c>
      <c r="D134">
        <v>2.15</v>
      </c>
      <c r="E134">
        <v>0.117150406454608</v>
      </c>
    </row>
    <row r="135" spans="1:5" x14ac:dyDescent="0.35">
      <c r="A135" s="1">
        <v>43840</v>
      </c>
      <c r="B135" s="1">
        <v>44001</v>
      </c>
      <c r="C135">
        <v>349</v>
      </c>
      <c r="D135">
        <v>1.95</v>
      </c>
      <c r="E135">
        <v>0.11807781894903401</v>
      </c>
    </row>
    <row r="136" spans="1:5" x14ac:dyDescent="0.35">
      <c r="A136" s="1">
        <v>43840</v>
      </c>
      <c r="B136" s="1">
        <v>44001</v>
      </c>
      <c r="C136">
        <v>350</v>
      </c>
      <c r="D136">
        <v>1.7649999999999999</v>
      </c>
      <c r="E136">
        <v>0.11913784608738701</v>
      </c>
    </row>
    <row r="137" spans="1:5" x14ac:dyDescent="0.35">
      <c r="A137" s="1">
        <v>43840</v>
      </c>
      <c r="B137" s="1">
        <v>44001</v>
      </c>
      <c r="C137">
        <v>351</v>
      </c>
      <c r="D137">
        <v>1.6</v>
      </c>
      <c r="E137">
        <v>0.12041573125935</v>
      </c>
    </row>
    <row r="138" spans="1:5" x14ac:dyDescent="0.35">
      <c r="A138" s="1">
        <v>43840</v>
      </c>
      <c r="B138" s="1">
        <v>44001</v>
      </c>
      <c r="C138">
        <v>352</v>
      </c>
      <c r="D138">
        <v>1.45</v>
      </c>
      <c r="E138">
        <v>0.121851081495001</v>
      </c>
    </row>
    <row r="139" spans="1:5" x14ac:dyDescent="0.35">
      <c r="A139" s="1">
        <v>43840</v>
      </c>
      <c r="B139" s="1">
        <v>44001</v>
      </c>
      <c r="C139">
        <v>353</v>
      </c>
      <c r="D139">
        <v>1.31</v>
      </c>
      <c r="E139">
        <v>0.123377150216013</v>
      </c>
    </row>
    <row r="140" spans="1:5" x14ac:dyDescent="0.35">
      <c r="A140" s="1">
        <v>43840</v>
      </c>
      <c r="B140" s="1">
        <v>44001</v>
      </c>
      <c r="C140">
        <v>354</v>
      </c>
      <c r="D140">
        <v>1.19</v>
      </c>
      <c r="E140">
        <v>0.12515683092636201</v>
      </c>
    </row>
    <row r="141" spans="1:5" x14ac:dyDescent="0.35">
      <c r="A141" s="1">
        <v>43840</v>
      </c>
      <c r="B141" s="1">
        <v>44001</v>
      </c>
      <c r="C141">
        <v>355</v>
      </c>
      <c r="D141">
        <v>1.08</v>
      </c>
      <c r="E141">
        <v>0.127049196670318</v>
      </c>
    </row>
    <row r="142" spans="1:5" x14ac:dyDescent="0.35">
      <c r="A142" s="1">
        <v>43840</v>
      </c>
      <c r="B142" s="1">
        <v>44001</v>
      </c>
      <c r="C142">
        <v>356</v>
      </c>
      <c r="D142">
        <v>0.98</v>
      </c>
      <c r="E142">
        <v>0.12905870649395401</v>
      </c>
    </row>
    <row r="143" spans="1:5" x14ac:dyDescent="0.35">
      <c r="A143" s="1">
        <v>43840</v>
      </c>
      <c r="B143" s="1">
        <v>44001</v>
      </c>
      <c r="C143">
        <v>357</v>
      </c>
      <c r="D143">
        <v>0.89</v>
      </c>
      <c r="E143">
        <v>0.13119311385452401</v>
      </c>
    </row>
    <row r="144" spans="1:5" x14ac:dyDescent="0.35">
      <c r="A144" s="1">
        <v>43840</v>
      </c>
      <c r="B144" s="1">
        <v>44001</v>
      </c>
      <c r="C144">
        <v>358</v>
      </c>
      <c r="D144">
        <v>0.80500000000000005</v>
      </c>
      <c r="E144">
        <v>0.13337693885996499</v>
      </c>
    </row>
    <row r="145" spans="1:5" x14ac:dyDescent="0.35">
      <c r="A145" s="1">
        <v>43840</v>
      </c>
      <c r="B145" s="1">
        <v>44001</v>
      </c>
      <c r="C145">
        <v>360</v>
      </c>
      <c r="D145">
        <v>0.67500000000000004</v>
      </c>
      <c r="E145">
        <v>0.13832155238060501</v>
      </c>
    </row>
    <row r="146" spans="1:5" x14ac:dyDescent="0.35">
      <c r="A146" s="1">
        <v>43840</v>
      </c>
      <c r="B146" s="1">
        <v>44001</v>
      </c>
      <c r="C146">
        <v>365</v>
      </c>
      <c r="D146">
        <v>0.42499999999999999</v>
      </c>
      <c r="E146">
        <v>0.151613925842876</v>
      </c>
    </row>
    <row r="147" spans="1:5" x14ac:dyDescent="0.35">
      <c r="A147" s="1">
        <v>43840</v>
      </c>
      <c r="B147" s="1">
        <v>44001</v>
      </c>
      <c r="C147">
        <v>370</v>
      </c>
      <c r="D147">
        <v>0.27500000000000002</v>
      </c>
      <c r="E147">
        <v>0.16628004490058301</v>
      </c>
    </row>
    <row r="148" spans="1:5" x14ac:dyDescent="0.35">
      <c r="A148" s="1">
        <v>43840</v>
      </c>
      <c r="B148" s="1">
        <v>44001</v>
      </c>
      <c r="C148">
        <v>375</v>
      </c>
      <c r="D148">
        <v>0.18</v>
      </c>
      <c r="E148">
        <v>0.18164896861159699</v>
      </c>
    </row>
    <row r="149" spans="1:5" x14ac:dyDescent="0.35">
      <c r="A149" s="1">
        <v>43840</v>
      </c>
      <c r="B149" s="1">
        <v>44001</v>
      </c>
      <c r="C149">
        <v>380</v>
      </c>
      <c r="D149">
        <v>0.12</v>
      </c>
      <c r="E149">
        <v>0.19740691931815499</v>
      </c>
    </row>
    <row r="150" spans="1:5" x14ac:dyDescent="0.35">
      <c r="A150" s="1">
        <v>43840</v>
      </c>
      <c r="B150" s="1">
        <v>44001</v>
      </c>
      <c r="C150">
        <v>385</v>
      </c>
      <c r="D150">
        <v>0.08</v>
      </c>
      <c r="E150">
        <v>0.21329949601126499</v>
      </c>
    </row>
    <row r="151" spans="1:5" x14ac:dyDescent="0.35">
      <c r="A151" s="1">
        <v>43840</v>
      </c>
      <c r="B151" s="1">
        <v>44001</v>
      </c>
      <c r="C151">
        <v>390</v>
      </c>
      <c r="D151">
        <v>0.06</v>
      </c>
      <c r="E151">
        <v>0.22933856781172099</v>
      </c>
    </row>
    <row r="152" spans="1:5" x14ac:dyDescent="0.35">
      <c r="A152" s="1">
        <v>43840</v>
      </c>
      <c r="B152" s="1">
        <v>44001</v>
      </c>
      <c r="C152">
        <v>395</v>
      </c>
      <c r="D152">
        <v>0.04</v>
      </c>
      <c r="E152">
        <v>0.245168652682792</v>
      </c>
    </row>
    <row r="153" spans="1:5" x14ac:dyDescent="0.35">
      <c r="A153" s="1">
        <v>43840</v>
      </c>
      <c r="B153" s="1">
        <v>44001</v>
      </c>
      <c r="C153">
        <v>400</v>
      </c>
      <c r="D153">
        <v>0.03</v>
      </c>
      <c r="E153">
        <v>0.26097531271863</v>
      </c>
    </row>
    <row r="154" spans="1:5" x14ac:dyDescent="0.35">
      <c r="A154" s="1">
        <v>43840</v>
      </c>
      <c r="B154" s="1">
        <v>44001</v>
      </c>
      <c r="C154">
        <v>405</v>
      </c>
      <c r="D154">
        <v>0.03</v>
      </c>
      <c r="E154">
        <v>0.276757857023883</v>
      </c>
    </row>
    <row r="155" spans="1:5" x14ac:dyDescent="0.35">
      <c r="A155" s="1">
        <v>43840</v>
      </c>
      <c r="B155" s="1">
        <v>44001</v>
      </c>
      <c r="C155">
        <v>410</v>
      </c>
      <c r="D155">
        <v>0.02</v>
      </c>
      <c r="E155">
        <v>0.29216897564452499</v>
      </c>
    </row>
    <row r="156" spans="1:5" x14ac:dyDescent="0.35">
      <c r="A156" s="1">
        <v>43840</v>
      </c>
      <c r="B156" s="1">
        <v>44001</v>
      </c>
      <c r="C156">
        <v>415</v>
      </c>
      <c r="D156">
        <v>0.02</v>
      </c>
      <c r="E156">
        <v>0.30756813223783502</v>
      </c>
    </row>
    <row r="157" spans="1:5" x14ac:dyDescent="0.35">
      <c r="A157" s="1">
        <v>43840</v>
      </c>
      <c r="B157" s="1">
        <v>44001</v>
      </c>
      <c r="C157">
        <v>420</v>
      </c>
      <c r="D157">
        <v>0.02</v>
      </c>
      <c r="E157">
        <v>0.32278042617470798</v>
      </c>
    </row>
    <row r="158" spans="1:5" x14ac:dyDescent="0.35">
      <c r="A158" s="1">
        <v>43840</v>
      </c>
      <c r="B158" s="1">
        <v>44001</v>
      </c>
      <c r="C158">
        <v>425</v>
      </c>
      <c r="D158">
        <v>0.01</v>
      </c>
      <c r="E158">
        <v>0.33763574667232599</v>
      </c>
    </row>
    <row r="159" spans="1:5" x14ac:dyDescent="0.35">
      <c r="A159" s="1">
        <v>43840</v>
      </c>
      <c r="B159" s="1">
        <v>44001</v>
      </c>
      <c r="C159">
        <v>430</v>
      </c>
      <c r="D159">
        <v>0.01</v>
      </c>
      <c r="E159">
        <v>0.35248985441642999</v>
      </c>
    </row>
    <row r="160" spans="1:5" x14ac:dyDescent="0.35">
      <c r="A160" s="1">
        <v>43840</v>
      </c>
      <c r="B160" s="1">
        <v>44001</v>
      </c>
      <c r="C160">
        <v>435</v>
      </c>
      <c r="D160">
        <v>0.01</v>
      </c>
      <c r="E160">
        <v>0.367170104273774</v>
      </c>
    </row>
    <row r="161" spans="1:5" x14ac:dyDescent="0.35">
      <c r="A161" s="1">
        <v>43840</v>
      </c>
      <c r="B161" s="1">
        <v>44001</v>
      </c>
      <c r="C161">
        <v>440</v>
      </c>
      <c r="D161">
        <v>0.01</v>
      </c>
      <c r="E161">
        <v>0.381680167128786</v>
      </c>
    </row>
  </sheetData>
  <mergeCells count="2">
    <mergeCell ref="G20:L20"/>
    <mergeCell ref="R18:V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1"/>
  <sheetViews>
    <sheetView workbookViewId="0">
      <selection activeCell="L18" sqref="L18:P18"/>
    </sheetView>
  </sheetViews>
  <sheetFormatPr defaultRowHeight="14.5" x14ac:dyDescent="0.35"/>
  <cols>
    <col min="1" max="2" width="10.453125" bestFit="1" customWidth="1"/>
    <col min="3" max="3" width="5.36328125" bestFit="1" customWidth="1"/>
    <col min="4" max="4" width="7.81640625" bestFit="1" customWidth="1"/>
    <col min="5" max="5" width="11.81640625" bestFit="1" customWidth="1"/>
    <col min="12" max="13" width="10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ht="15" thickBot="1" x14ac:dyDescent="0.4">
      <c r="A2" s="1">
        <v>43840</v>
      </c>
      <c r="B2" s="1">
        <v>44001</v>
      </c>
      <c r="C2">
        <v>25</v>
      </c>
      <c r="D2">
        <v>300.73</v>
      </c>
      <c r="E2">
        <v>3.1011831998730801</v>
      </c>
    </row>
    <row r="3" spans="1:16" x14ac:dyDescent="0.35">
      <c r="A3" s="1">
        <v>43840</v>
      </c>
      <c r="B3" s="1">
        <v>44001</v>
      </c>
      <c r="C3">
        <v>30</v>
      </c>
      <c r="D3">
        <v>295.74</v>
      </c>
      <c r="E3">
        <v>2.8980954587711101</v>
      </c>
      <c r="H3">
        <v>50</v>
      </c>
      <c r="I3">
        <f>VLOOKUP($H3,$C$2:$E$161,2)</f>
        <v>275.81</v>
      </c>
      <c r="J3">
        <f>VLOOKUP($H3,$C$2:$E$161,3)</f>
        <v>2.3126645601822902</v>
      </c>
      <c r="L3" s="10" t="s">
        <v>0</v>
      </c>
      <c r="M3" s="11" t="s">
        <v>1</v>
      </c>
      <c r="N3" s="11" t="s">
        <v>2</v>
      </c>
      <c r="O3" s="11" t="s">
        <v>3</v>
      </c>
      <c r="P3" s="11" t="s">
        <v>4</v>
      </c>
    </row>
    <row r="4" spans="1:16" x14ac:dyDescent="0.35">
      <c r="A4" s="1">
        <v>43840</v>
      </c>
      <c r="B4" s="1">
        <v>44001</v>
      </c>
      <c r="C4">
        <v>35</v>
      </c>
      <c r="D4">
        <v>290.76</v>
      </c>
      <c r="E4">
        <v>2.7243763575946298</v>
      </c>
      <c r="H4">
        <v>75</v>
      </c>
      <c r="I4">
        <f t="shared" ref="I4:I15" si="0">VLOOKUP($H4,$C$2:$E$161,2)</f>
        <v>250.905</v>
      </c>
      <c r="J4">
        <f t="shared" ref="J4:J15" si="1">VLOOKUP($H4,$C$2:$E$161,3)</f>
        <v>1.8315615608133899</v>
      </c>
      <c r="L4" s="12"/>
      <c r="M4" s="12"/>
      <c r="N4" s="12"/>
      <c r="O4" s="12"/>
      <c r="P4" s="12"/>
    </row>
    <row r="5" spans="1:16" x14ac:dyDescent="0.35">
      <c r="A5" s="1">
        <v>43840</v>
      </c>
      <c r="B5" s="1">
        <v>44001</v>
      </c>
      <c r="C5">
        <v>40</v>
      </c>
      <c r="D5">
        <v>285.77499999999998</v>
      </c>
      <c r="E5">
        <v>2.5715584147647301</v>
      </c>
      <c r="H5">
        <v>100</v>
      </c>
      <c r="I5">
        <f t="shared" si="0"/>
        <v>226.005</v>
      </c>
      <c r="J5">
        <f t="shared" si="1"/>
        <v>1.4830352249057299</v>
      </c>
      <c r="L5" s="13">
        <v>43840</v>
      </c>
      <c r="M5" s="13">
        <v>44001</v>
      </c>
      <c r="N5" s="14">
        <v>50</v>
      </c>
      <c r="O5" s="15">
        <v>275.81</v>
      </c>
      <c r="P5" s="16">
        <v>2.3126645601822902</v>
      </c>
    </row>
    <row r="6" spans="1:16" x14ac:dyDescent="0.35">
      <c r="A6" s="1">
        <v>43840</v>
      </c>
      <c r="B6" s="1">
        <v>44001</v>
      </c>
      <c r="C6">
        <v>45</v>
      </c>
      <c r="D6">
        <v>280.79000000000002</v>
      </c>
      <c r="E6">
        <v>2.4353220607572301</v>
      </c>
      <c r="H6">
        <v>125</v>
      </c>
      <c r="I6">
        <f t="shared" si="0"/>
        <v>201.11</v>
      </c>
      <c r="J6">
        <f t="shared" si="1"/>
        <v>1.20943967304397</v>
      </c>
      <c r="L6" s="13">
        <v>43840</v>
      </c>
      <c r="M6" s="13">
        <v>44001</v>
      </c>
      <c r="N6" s="14">
        <v>75</v>
      </c>
      <c r="O6" s="15">
        <v>250.905</v>
      </c>
      <c r="P6" s="16">
        <v>1.8315615608133899</v>
      </c>
    </row>
    <row r="7" spans="1:16" x14ac:dyDescent="0.35">
      <c r="A7" s="1">
        <v>43840</v>
      </c>
      <c r="B7" s="1">
        <v>44001</v>
      </c>
      <c r="C7">
        <v>50</v>
      </c>
      <c r="D7">
        <v>275.81</v>
      </c>
      <c r="E7">
        <v>2.3126645601822902</v>
      </c>
      <c r="H7">
        <v>150</v>
      </c>
      <c r="I7">
        <f t="shared" si="0"/>
        <v>176.215</v>
      </c>
      <c r="J7">
        <f t="shared" si="1"/>
        <v>0.98408422154549102</v>
      </c>
      <c r="L7" s="13">
        <v>43840</v>
      </c>
      <c r="M7" s="13">
        <v>44001</v>
      </c>
      <c r="N7" s="14">
        <v>100</v>
      </c>
      <c r="O7" s="15">
        <v>226.005</v>
      </c>
      <c r="P7" s="16">
        <v>1.4830352249057299</v>
      </c>
    </row>
    <row r="8" spans="1:16" x14ac:dyDescent="0.35">
      <c r="A8" s="1">
        <v>43840</v>
      </c>
      <c r="B8" s="1">
        <v>44001</v>
      </c>
      <c r="C8">
        <v>55</v>
      </c>
      <c r="D8">
        <v>270.82499999999999</v>
      </c>
      <c r="E8">
        <v>2.2005671018386002</v>
      </c>
      <c r="H8">
        <v>175</v>
      </c>
      <c r="I8">
        <f t="shared" si="0"/>
        <v>151.33500000000001</v>
      </c>
      <c r="J8">
        <f t="shared" si="1"/>
        <v>0.79293905800464604</v>
      </c>
      <c r="L8" s="13">
        <v>43840</v>
      </c>
      <c r="M8" s="13">
        <v>44001</v>
      </c>
      <c r="N8" s="14">
        <v>125</v>
      </c>
      <c r="O8" s="15">
        <v>201.11</v>
      </c>
      <c r="P8" s="16">
        <v>1.20943967304397</v>
      </c>
    </row>
    <row r="9" spans="1:16" x14ac:dyDescent="0.35">
      <c r="A9" s="1">
        <v>43840</v>
      </c>
      <c r="B9" s="1">
        <v>44001</v>
      </c>
      <c r="C9">
        <v>60</v>
      </c>
      <c r="D9">
        <v>265.84500000000003</v>
      </c>
      <c r="E9">
        <v>2.0978244597724598</v>
      </c>
      <c r="H9">
        <v>200</v>
      </c>
      <c r="I9">
        <f t="shared" si="0"/>
        <v>126.495</v>
      </c>
      <c r="J9">
        <f t="shared" si="1"/>
        <v>0.62776073980001701</v>
      </c>
      <c r="L9" s="13">
        <v>43840</v>
      </c>
      <c r="M9" s="13">
        <v>44001</v>
      </c>
      <c r="N9" s="14">
        <v>150</v>
      </c>
      <c r="O9" s="15">
        <v>176.215</v>
      </c>
      <c r="P9" s="16">
        <v>0.98408422154549102</v>
      </c>
    </row>
    <row r="10" spans="1:16" x14ac:dyDescent="0.35">
      <c r="A10" s="1">
        <v>43840</v>
      </c>
      <c r="B10" s="1">
        <v>44001</v>
      </c>
      <c r="C10">
        <v>65</v>
      </c>
      <c r="D10">
        <v>260.86500000000001</v>
      </c>
      <c r="E10">
        <v>2.0027607564302099</v>
      </c>
      <c r="H10">
        <v>225</v>
      </c>
      <c r="I10">
        <f t="shared" si="0"/>
        <v>101.78</v>
      </c>
      <c r="J10">
        <f t="shared" si="1"/>
        <v>0.48457939052858001</v>
      </c>
      <c r="L10" s="13">
        <v>43840</v>
      </c>
      <c r="M10" s="13">
        <v>44001</v>
      </c>
      <c r="N10" s="14">
        <v>175</v>
      </c>
      <c r="O10" s="15">
        <v>151.33500000000001</v>
      </c>
      <c r="P10" s="16">
        <v>0.79293905800464604</v>
      </c>
    </row>
    <row r="11" spans="1:16" x14ac:dyDescent="0.35">
      <c r="A11" s="1">
        <v>43840</v>
      </c>
      <c r="B11" s="1">
        <v>44001</v>
      </c>
      <c r="C11">
        <v>70</v>
      </c>
      <c r="D11">
        <v>255.88499999999999</v>
      </c>
      <c r="E11">
        <v>1.9142929983693999</v>
      </c>
      <c r="H11">
        <v>250</v>
      </c>
      <c r="I11">
        <f t="shared" si="0"/>
        <v>77.364999999999995</v>
      </c>
      <c r="J11">
        <f t="shared" si="1"/>
        <v>0.36242120077269502</v>
      </c>
      <c r="L11" s="13">
        <v>43840</v>
      </c>
      <c r="M11" s="13">
        <v>44001</v>
      </c>
      <c r="N11" s="14">
        <v>200</v>
      </c>
      <c r="O11" s="15">
        <v>126.495</v>
      </c>
      <c r="P11" s="16">
        <v>0.62776073980001701</v>
      </c>
    </row>
    <row r="12" spans="1:16" x14ac:dyDescent="0.35">
      <c r="A12" s="1">
        <v>43840</v>
      </c>
      <c r="B12" s="1">
        <v>44001</v>
      </c>
      <c r="C12">
        <v>75</v>
      </c>
      <c r="D12">
        <v>250.905</v>
      </c>
      <c r="E12">
        <v>1.8315615608133899</v>
      </c>
      <c r="H12">
        <v>275</v>
      </c>
      <c r="I12">
        <f t="shared" si="0"/>
        <v>53.8</v>
      </c>
      <c r="J12">
        <f t="shared" si="1"/>
        <v>0.26604021776589798</v>
      </c>
      <c r="L12" s="13">
        <v>43840</v>
      </c>
      <c r="M12" s="13">
        <v>44001</v>
      </c>
      <c r="N12" s="14">
        <v>225</v>
      </c>
      <c r="O12" s="15">
        <v>101.78</v>
      </c>
      <c r="P12" s="16">
        <v>0.48457939052858001</v>
      </c>
    </row>
    <row r="13" spans="1:16" x14ac:dyDescent="0.35">
      <c r="A13" s="1">
        <v>43840</v>
      </c>
      <c r="B13" s="1">
        <v>44001</v>
      </c>
      <c r="C13">
        <v>80</v>
      </c>
      <c r="D13">
        <v>245.92500000000001</v>
      </c>
      <c r="E13">
        <v>1.7538554386210199</v>
      </c>
      <c r="H13">
        <v>300</v>
      </c>
      <c r="I13">
        <f t="shared" si="0"/>
        <v>31.7</v>
      </c>
      <c r="J13">
        <f t="shared" si="1"/>
        <v>0.19238955151133799</v>
      </c>
      <c r="L13" s="13">
        <v>43840</v>
      </c>
      <c r="M13" s="13">
        <v>44001</v>
      </c>
      <c r="N13" s="14">
        <v>250</v>
      </c>
      <c r="O13" s="15">
        <v>77.364999999999995</v>
      </c>
      <c r="P13" s="16">
        <v>0.36242120077269502</v>
      </c>
    </row>
    <row r="14" spans="1:16" x14ac:dyDescent="0.35">
      <c r="A14" s="1">
        <v>43840</v>
      </c>
      <c r="B14" s="1">
        <v>44001</v>
      </c>
      <c r="C14">
        <v>85</v>
      </c>
      <c r="D14">
        <v>240.94499999999999</v>
      </c>
      <c r="E14">
        <v>1.6805998927199099</v>
      </c>
      <c r="H14">
        <v>325</v>
      </c>
      <c r="I14">
        <f t="shared" si="0"/>
        <v>12.494999999999999</v>
      </c>
      <c r="J14">
        <f t="shared" si="1"/>
        <v>0.13544064085792401</v>
      </c>
      <c r="L14" s="13">
        <v>43840</v>
      </c>
      <c r="M14" s="13">
        <v>44001</v>
      </c>
      <c r="N14" s="14">
        <v>275</v>
      </c>
      <c r="O14" s="15">
        <v>53.8</v>
      </c>
      <c r="P14" s="16">
        <v>0.26604021776589798</v>
      </c>
    </row>
    <row r="15" spans="1:16" x14ac:dyDescent="0.35">
      <c r="A15" s="1">
        <v>43840</v>
      </c>
      <c r="B15" s="1">
        <v>44001</v>
      </c>
      <c r="C15">
        <v>90</v>
      </c>
      <c r="D15">
        <v>235.965</v>
      </c>
      <c r="E15">
        <v>1.6113067074679099</v>
      </c>
      <c r="H15">
        <v>350</v>
      </c>
      <c r="I15">
        <f t="shared" si="0"/>
        <v>1.7649999999999999</v>
      </c>
      <c r="J15">
        <f t="shared" si="1"/>
        <v>0.11913784608738701</v>
      </c>
      <c r="L15" s="13">
        <v>43840</v>
      </c>
      <c r="M15" s="13">
        <v>44001</v>
      </c>
      <c r="N15" s="14">
        <v>300</v>
      </c>
      <c r="O15" s="15">
        <v>31.7</v>
      </c>
      <c r="P15" s="16">
        <v>0.19238955151133799</v>
      </c>
    </row>
    <row r="16" spans="1:16" x14ac:dyDescent="0.35">
      <c r="A16" s="1">
        <v>43840</v>
      </c>
      <c r="B16" s="1">
        <v>44001</v>
      </c>
      <c r="C16">
        <v>95</v>
      </c>
      <c r="D16">
        <v>230.98500000000001</v>
      </c>
      <c r="E16">
        <v>1.54556811235526</v>
      </c>
      <c r="L16" s="13">
        <v>43840</v>
      </c>
      <c r="M16" s="13">
        <v>44001</v>
      </c>
      <c r="N16" s="14">
        <v>325</v>
      </c>
      <c r="O16" s="15">
        <v>12.494999999999999</v>
      </c>
      <c r="P16" s="16">
        <v>0.13544064085792401</v>
      </c>
    </row>
    <row r="17" spans="1:16" x14ac:dyDescent="0.35">
      <c r="A17" s="1">
        <v>43840</v>
      </c>
      <c r="B17" s="1">
        <v>44001</v>
      </c>
      <c r="C17">
        <v>100</v>
      </c>
      <c r="D17">
        <v>226.005</v>
      </c>
      <c r="E17">
        <v>1.4830352249057299</v>
      </c>
      <c r="L17" s="13">
        <v>43840</v>
      </c>
      <c r="M17" s="13">
        <v>44001</v>
      </c>
      <c r="N17" s="14">
        <v>350</v>
      </c>
      <c r="O17" s="15">
        <v>1.7649999999999999</v>
      </c>
      <c r="P17" s="16">
        <v>0.11913784608738701</v>
      </c>
    </row>
    <row r="18" spans="1:16" ht="15" thickBot="1" x14ac:dyDescent="0.4">
      <c r="A18" s="1">
        <v>43840</v>
      </c>
      <c r="B18" s="1">
        <v>44001</v>
      </c>
      <c r="C18">
        <v>105</v>
      </c>
      <c r="D18">
        <v>221.03</v>
      </c>
      <c r="E18">
        <v>0.256338167899061</v>
      </c>
      <c r="L18" s="17" t="s">
        <v>14</v>
      </c>
      <c r="M18" s="17"/>
      <c r="N18" s="17"/>
      <c r="O18" s="17"/>
      <c r="P18" s="17"/>
    </row>
    <row r="19" spans="1:16" x14ac:dyDescent="0.35">
      <c r="A19" s="1">
        <v>43840</v>
      </c>
      <c r="B19" s="1">
        <v>44001</v>
      </c>
      <c r="C19">
        <v>110</v>
      </c>
      <c r="D19">
        <v>216.04499999999999</v>
      </c>
      <c r="E19">
        <v>1.3664322608287101</v>
      </c>
    </row>
    <row r="20" spans="1:16" x14ac:dyDescent="0.35">
      <c r="A20" s="1">
        <v>43840</v>
      </c>
      <c r="B20" s="1">
        <v>44001</v>
      </c>
      <c r="C20">
        <v>115</v>
      </c>
      <c r="D20">
        <v>211.065</v>
      </c>
      <c r="E20">
        <v>1.3118790869793799</v>
      </c>
    </row>
    <row r="21" spans="1:16" x14ac:dyDescent="0.35">
      <c r="A21" s="1">
        <v>43840</v>
      </c>
      <c r="B21" s="1">
        <v>44001</v>
      </c>
      <c r="C21">
        <v>120</v>
      </c>
      <c r="D21">
        <v>206.09</v>
      </c>
      <c r="E21">
        <v>1.2597230296567401</v>
      </c>
    </row>
    <row r="22" spans="1:16" x14ac:dyDescent="0.35">
      <c r="A22" s="1">
        <v>43840</v>
      </c>
      <c r="B22" s="1">
        <v>44001</v>
      </c>
      <c r="C22">
        <v>125</v>
      </c>
      <c r="D22">
        <v>201.11</v>
      </c>
      <c r="E22">
        <v>1.20943967304397</v>
      </c>
    </row>
    <row r="23" spans="1:16" x14ac:dyDescent="0.35">
      <c r="A23" s="1">
        <v>43840</v>
      </c>
      <c r="B23" s="1">
        <v>44001</v>
      </c>
      <c r="C23">
        <v>130</v>
      </c>
      <c r="D23">
        <v>196.13</v>
      </c>
      <c r="E23">
        <v>1.16105550874342</v>
      </c>
    </row>
    <row r="24" spans="1:16" x14ac:dyDescent="0.35">
      <c r="A24" s="1">
        <v>43840</v>
      </c>
      <c r="B24" s="1">
        <v>44001</v>
      </c>
      <c r="C24">
        <v>135</v>
      </c>
      <c r="D24">
        <v>191.15</v>
      </c>
      <c r="E24">
        <v>1.1144288328776399</v>
      </c>
    </row>
    <row r="25" spans="1:16" x14ac:dyDescent="0.35">
      <c r="A25" s="1">
        <v>43840</v>
      </c>
      <c r="B25" s="1">
        <v>44001</v>
      </c>
      <c r="C25">
        <v>140</v>
      </c>
      <c r="D25">
        <v>186.17500000000001</v>
      </c>
      <c r="E25">
        <v>1.06959416852232</v>
      </c>
    </row>
    <row r="26" spans="1:16" x14ac:dyDescent="0.35">
      <c r="A26" s="1">
        <v>43840</v>
      </c>
      <c r="B26" s="1">
        <v>44001</v>
      </c>
      <c r="C26">
        <v>145</v>
      </c>
      <c r="D26">
        <v>181.19499999999999</v>
      </c>
      <c r="E26">
        <v>1.0261251710320101</v>
      </c>
    </row>
    <row r="27" spans="1:16" x14ac:dyDescent="0.35">
      <c r="A27" s="1">
        <v>43840</v>
      </c>
      <c r="B27" s="1">
        <v>44001</v>
      </c>
      <c r="C27">
        <v>150</v>
      </c>
      <c r="D27">
        <v>176.215</v>
      </c>
      <c r="E27">
        <v>0.98408422154549102</v>
      </c>
    </row>
    <row r="28" spans="1:16" x14ac:dyDescent="0.35">
      <c r="A28" s="1">
        <v>43840</v>
      </c>
      <c r="B28" s="1">
        <v>44001</v>
      </c>
      <c r="C28">
        <v>155</v>
      </c>
      <c r="D28">
        <v>171.24</v>
      </c>
      <c r="E28">
        <v>0.943529030035137</v>
      </c>
    </row>
    <row r="29" spans="1:16" x14ac:dyDescent="0.35">
      <c r="A29" s="1">
        <v>43840</v>
      </c>
      <c r="B29" s="1">
        <v>44001</v>
      </c>
      <c r="C29">
        <v>160</v>
      </c>
      <c r="D29">
        <v>166.26499999999999</v>
      </c>
      <c r="E29">
        <v>0.90421887808578305</v>
      </c>
    </row>
    <row r="30" spans="1:16" x14ac:dyDescent="0.35">
      <c r="A30" s="1">
        <v>43840</v>
      </c>
      <c r="B30" s="1">
        <v>44001</v>
      </c>
      <c r="C30">
        <v>165</v>
      </c>
      <c r="D30">
        <v>161.285</v>
      </c>
      <c r="E30">
        <v>0.865943043097266</v>
      </c>
    </row>
    <row r="31" spans="1:16" x14ac:dyDescent="0.35">
      <c r="A31" s="1">
        <v>43840</v>
      </c>
      <c r="B31" s="1">
        <v>44001</v>
      </c>
      <c r="C31">
        <v>170</v>
      </c>
      <c r="D31">
        <v>156.315</v>
      </c>
      <c r="E31">
        <v>0.82905638591143804</v>
      </c>
    </row>
    <row r="32" spans="1:16" x14ac:dyDescent="0.35">
      <c r="A32" s="1">
        <v>43840</v>
      </c>
      <c r="B32" s="1">
        <v>44001</v>
      </c>
      <c r="C32">
        <v>175</v>
      </c>
      <c r="D32">
        <v>151.33500000000001</v>
      </c>
      <c r="E32">
        <v>0.79293905800464604</v>
      </c>
    </row>
    <row r="33" spans="1:5" x14ac:dyDescent="0.35">
      <c r="A33" s="1">
        <v>43840</v>
      </c>
      <c r="B33" s="1">
        <v>44001</v>
      </c>
      <c r="C33">
        <v>180</v>
      </c>
      <c r="D33">
        <v>146.36500000000001</v>
      </c>
      <c r="E33">
        <v>0.75808268110428401</v>
      </c>
    </row>
    <row r="34" spans="1:5" x14ac:dyDescent="0.35">
      <c r="A34" s="1">
        <v>43840</v>
      </c>
      <c r="B34" s="1">
        <v>44001</v>
      </c>
      <c r="C34">
        <v>185</v>
      </c>
      <c r="D34">
        <v>141.39500000000001</v>
      </c>
      <c r="E34">
        <v>0.72415759083127396</v>
      </c>
    </row>
    <row r="35" spans="1:5" x14ac:dyDescent="0.35">
      <c r="A35" s="1">
        <v>43840</v>
      </c>
      <c r="B35" s="1">
        <v>44001</v>
      </c>
      <c r="C35">
        <v>190</v>
      </c>
      <c r="D35">
        <v>136.42500000000001</v>
      </c>
      <c r="E35">
        <v>0.69111516710849796</v>
      </c>
    </row>
    <row r="36" spans="1:5" x14ac:dyDescent="0.35">
      <c r="A36" s="1">
        <v>43840</v>
      </c>
      <c r="B36" s="1">
        <v>44001</v>
      </c>
      <c r="C36">
        <v>195</v>
      </c>
      <c r="D36">
        <v>131.46</v>
      </c>
      <c r="E36">
        <v>0.65904112861586095</v>
      </c>
    </row>
    <row r="37" spans="1:5" x14ac:dyDescent="0.35">
      <c r="A37" s="1">
        <v>43840</v>
      </c>
      <c r="B37" s="1">
        <v>44001</v>
      </c>
      <c r="C37">
        <v>200</v>
      </c>
      <c r="D37">
        <v>126.495</v>
      </c>
      <c r="E37">
        <v>0.62776073980001701</v>
      </c>
    </row>
    <row r="38" spans="1:5" x14ac:dyDescent="0.35">
      <c r="A38" s="1">
        <v>43840</v>
      </c>
      <c r="B38" s="1">
        <v>44001</v>
      </c>
      <c r="C38">
        <v>205</v>
      </c>
      <c r="D38">
        <v>121.54</v>
      </c>
      <c r="E38">
        <v>0.59748257869511601</v>
      </c>
    </row>
    <row r="39" spans="1:5" x14ac:dyDescent="0.35">
      <c r="A39" s="1">
        <v>43840</v>
      </c>
      <c r="B39" s="1">
        <v>44001</v>
      </c>
      <c r="C39">
        <v>210</v>
      </c>
      <c r="D39">
        <v>116.59</v>
      </c>
      <c r="E39">
        <v>0.56804057238677397</v>
      </c>
    </row>
    <row r="40" spans="1:5" x14ac:dyDescent="0.35">
      <c r="A40" s="1">
        <v>43840</v>
      </c>
      <c r="B40" s="1">
        <v>44001</v>
      </c>
      <c r="C40">
        <v>215</v>
      </c>
      <c r="D40">
        <v>111.64</v>
      </c>
      <c r="E40">
        <v>0.53927432237461703</v>
      </c>
    </row>
    <row r="41" spans="1:5" x14ac:dyDescent="0.35">
      <c r="A41" s="1">
        <v>43840</v>
      </c>
      <c r="B41" s="1">
        <v>44001</v>
      </c>
      <c r="C41">
        <v>220</v>
      </c>
      <c r="D41">
        <v>106.705</v>
      </c>
      <c r="E41">
        <v>0.51150852729533203</v>
      </c>
    </row>
    <row r="42" spans="1:5" x14ac:dyDescent="0.35">
      <c r="A42" s="1">
        <v>43840</v>
      </c>
      <c r="B42" s="1">
        <v>44001</v>
      </c>
      <c r="C42">
        <v>225</v>
      </c>
      <c r="D42">
        <v>101.78</v>
      </c>
      <c r="E42">
        <v>0.48457939052858001</v>
      </c>
    </row>
    <row r="43" spans="1:5" x14ac:dyDescent="0.35">
      <c r="A43" s="1">
        <v>43840</v>
      </c>
      <c r="B43" s="1">
        <v>44001</v>
      </c>
      <c r="C43">
        <v>230</v>
      </c>
      <c r="D43">
        <v>96.86</v>
      </c>
      <c r="E43">
        <v>0.45833120465711302</v>
      </c>
    </row>
    <row r="44" spans="1:5" x14ac:dyDescent="0.35">
      <c r="A44" s="1">
        <v>43840</v>
      </c>
      <c r="B44" s="1">
        <v>44001</v>
      </c>
      <c r="C44">
        <v>235</v>
      </c>
      <c r="D44">
        <v>91.974999999999994</v>
      </c>
      <c r="E44">
        <v>0.43341009024583699</v>
      </c>
    </row>
    <row r="45" spans="1:5" x14ac:dyDescent="0.35">
      <c r="A45" s="1">
        <v>43840</v>
      </c>
      <c r="B45" s="1">
        <v>44001</v>
      </c>
      <c r="C45">
        <v>240</v>
      </c>
      <c r="D45">
        <v>87.094999999999999</v>
      </c>
      <c r="E45">
        <v>0.40908829150084902</v>
      </c>
    </row>
    <row r="46" spans="1:5" x14ac:dyDescent="0.35">
      <c r="A46" s="1">
        <v>43840</v>
      </c>
      <c r="B46" s="1">
        <v>44001</v>
      </c>
      <c r="C46">
        <v>245</v>
      </c>
      <c r="D46">
        <v>82.245000000000005</v>
      </c>
      <c r="E46">
        <v>0.385864294801115</v>
      </c>
    </row>
    <row r="47" spans="1:5" x14ac:dyDescent="0.35">
      <c r="A47" s="1">
        <v>43840</v>
      </c>
      <c r="B47" s="1">
        <v>44001</v>
      </c>
      <c r="C47">
        <v>250</v>
      </c>
      <c r="D47">
        <v>77.364999999999995</v>
      </c>
      <c r="E47">
        <v>0.36242120077269502</v>
      </c>
    </row>
    <row r="48" spans="1:5" x14ac:dyDescent="0.35">
      <c r="A48" s="1">
        <v>43840</v>
      </c>
      <c r="B48" s="1">
        <v>44001</v>
      </c>
      <c r="C48">
        <v>255</v>
      </c>
      <c r="D48">
        <v>72.56</v>
      </c>
      <c r="E48">
        <v>0.34092466766163898</v>
      </c>
    </row>
    <row r="49" spans="1:5" x14ac:dyDescent="0.35">
      <c r="A49" s="1">
        <v>43840</v>
      </c>
      <c r="B49" s="1">
        <v>44001</v>
      </c>
      <c r="C49">
        <v>260</v>
      </c>
      <c r="D49">
        <v>67.81</v>
      </c>
      <c r="E49">
        <v>0.32082844081366402</v>
      </c>
    </row>
    <row r="50" spans="1:5" x14ac:dyDescent="0.35">
      <c r="A50" s="1">
        <v>43840</v>
      </c>
      <c r="B50" s="1">
        <v>44001</v>
      </c>
      <c r="C50">
        <v>264</v>
      </c>
      <c r="D50">
        <v>64.03</v>
      </c>
      <c r="E50">
        <v>0.30529673354026998</v>
      </c>
    </row>
    <row r="51" spans="1:5" x14ac:dyDescent="0.35">
      <c r="A51" s="1">
        <v>43840</v>
      </c>
      <c r="B51" s="1">
        <v>44001</v>
      </c>
      <c r="C51">
        <v>265</v>
      </c>
      <c r="D51">
        <v>63.1</v>
      </c>
      <c r="E51">
        <v>0.30171913169186998</v>
      </c>
    </row>
    <row r="52" spans="1:5" x14ac:dyDescent="0.35">
      <c r="A52" s="1">
        <v>43840</v>
      </c>
      <c r="B52" s="1">
        <v>44001</v>
      </c>
      <c r="C52">
        <v>266</v>
      </c>
      <c r="D52">
        <v>62.15</v>
      </c>
      <c r="E52">
        <v>0.29776565627083001</v>
      </c>
    </row>
    <row r="53" spans="1:5" x14ac:dyDescent="0.35">
      <c r="A53" s="1">
        <v>43840</v>
      </c>
      <c r="B53" s="1">
        <v>44001</v>
      </c>
      <c r="C53">
        <v>267</v>
      </c>
      <c r="D53">
        <v>61.22</v>
      </c>
      <c r="E53">
        <v>0.29419378195137502</v>
      </c>
    </row>
    <row r="54" spans="1:5" x14ac:dyDescent="0.35">
      <c r="A54" s="1">
        <v>43840</v>
      </c>
      <c r="B54" s="1">
        <v>44001</v>
      </c>
      <c r="C54">
        <v>268</v>
      </c>
      <c r="D54">
        <v>60.28</v>
      </c>
      <c r="E54">
        <v>0.29043870999737198</v>
      </c>
    </row>
    <row r="55" spans="1:5" x14ac:dyDescent="0.35">
      <c r="A55" s="1">
        <v>43840</v>
      </c>
      <c r="B55" s="1">
        <v>44001</v>
      </c>
      <c r="C55">
        <v>269</v>
      </c>
      <c r="D55">
        <v>59.35</v>
      </c>
      <c r="E55">
        <v>0.286873547473872</v>
      </c>
    </row>
    <row r="56" spans="1:5" x14ac:dyDescent="0.35">
      <c r="A56" s="1">
        <v>43840</v>
      </c>
      <c r="B56" s="1">
        <v>44001</v>
      </c>
      <c r="C56">
        <v>270</v>
      </c>
      <c r="D56">
        <v>58.42</v>
      </c>
      <c r="E56">
        <v>0.28331010386012201</v>
      </c>
    </row>
    <row r="57" spans="1:5" x14ac:dyDescent="0.35">
      <c r="A57" s="1">
        <v>43840</v>
      </c>
      <c r="B57" s="1">
        <v>44001</v>
      </c>
      <c r="C57">
        <v>271</v>
      </c>
      <c r="D57">
        <v>57.49</v>
      </c>
      <c r="E57">
        <v>0.27974815970394801</v>
      </c>
    </row>
    <row r="58" spans="1:5" x14ac:dyDescent="0.35">
      <c r="A58" s="1">
        <v>43840</v>
      </c>
      <c r="B58" s="1">
        <v>44001</v>
      </c>
      <c r="C58">
        <v>272</v>
      </c>
      <c r="D58">
        <v>56.56</v>
      </c>
      <c r="E58">
        <v>0.27618748920459801</v>
      </c>
    </row>
    <row r="59" spans="1:5" x14ac:dyDescent="0.35">
      <c r="A59" s="1">
        <v>43840</v>
      </c>
      <c r="B59" s="1">
        <v>44001</v>
      </c>
      <c r="C59">
        <v>273</v>
      </c>
      <c r="D59">
        <v>55.645000000000003</v>
      </c>
      <c r="E59">
        <v>0.272896904551094</v>
      </c>
    </row>
    <row r="60" spans="1:5" x14ac:dyDescent="0.35">
      <c r="A60" s="1">
        <v>43840</v>
      </c>
      <c r="B60" s="1">
        <v>44001</v>
      </c>
      <c r="C60">
        <v>274</v>
      </c>
      <c r="D60">
        <v>54.725000000000001</v>
      </c>
      <c r="E60">
        <v>0.26951380561941701</v>
      </c>
    </row>
    <row r="61" spans="1:5" x14ac:dyDescent="0.35">
      <c r="A61" s="1">
        <v>43840</v>
      </c>
      <c r="B61" s="1">
        <v>44001</v>
      </c>
      <c r="C61">
        <v>275</v>
      </c>
      <c r="D61">
        <v>53.8</v>
      </c>
      <c r="E61">
        <v>0.26604021776589798</v>
      </c>
    </row>
    <row r="62" spans="1:5" x14ac:dyDescent="0.35">
      <c r="A62" s="1">
        <v>43840</v>
      </c>
      <c r="B62" s="1">
        <v>44001</v>
      </c>
      <c r="C62">
        <v>276</v>
      </c>
      <c r="D62">
        <v>52.884999999999998</v>
      </c>
      <c r="E62">
        <v>0.26274040517189501</v>
      </c>
    </row>
    <row r="63" spans="1:5" x14ac:dyDescent="0.35">
      <c r="A63" s="1">
        <v>43840</v>
      </c>
      <c r="B63" s="1">
        <v>44001</v>
      </c>
      <c r="C63">
        <v>277</v>
      </c>
      <c r="D63">
        <v>51.965000000000003</v>
      </c>
      <c r="E63">
        <v>0.25934963208886802</v>
      </c>
    </row>
    <row r="64" spans="1:5" x14ac:dyDescent="0.35">
      <c r="A64" s="1">
        <v>43840</v>
      </c>
      <c r="B64" s="1">
        <v>44001</v>
      </c>
      <c r="C64">
        <v>278</v>
      </c>
      <c r="D64">
        <v>51.06</v>
      </c>
      <c r="E64">
        <v>0.25621358010385797</v>
      </c>
    </row>
    <row r="65" spans="1:5" x14ac:dyDescent="0.35">
      <c r="A65" s="1">
        <v>43840</v>
      </c>
      <c r="B65" s="1">
        <v>44001</v>
      </c>
      <c r="C65">
        <v>279</v>
      </c>
      <c r="D65">
        <v>50.145000000000003</v>
      </c>
      <c r="E65">
        <v>0.25289944264078301</v>
      </c>
    </row>
    <row r="66" spans="1:5" x14ac:dyDescent="0.35">
      <c r="A66" s="1">
        <v>43840</v>
      </c>
      <c r="B66" s="1">
        <v>44001</v>
      </c>
      <c r="C66">
        <v>280</v>
      </c>
      <c r="D66">
        <v>49.244999999999997</v>
      </c>
      <c r="E66">
        <v>0.24983344237225499</v>
      </c>
    </row>
    <row r="67" spans="1:5" x14ac:dyDescent="0.35">
      <c r="A67" s="1">
        <v>43840</v>
      </c>
      <c r="B67" s="1">
        <v>44001</v>
      </c>
      <c r="C67">
        <v>281</v>
      </c>
      <c r="D67">
        <v>48.335000000000001</v>
      </c>
      <c r="E67">
        <v>0.24659066338610799</v>
      </c>
    </row>
    <row r="68" spans="1:5" x14ac:dyDescent="0.35">
      <c r="A68" s="1">
        <v>43840</v>
      </c>
      <c r="B68" s="1">
        <v>44001</v>
      </c>
      <c r="C68">
        <v>282</v>
      </c>
      <c r="D68">
        <v>47.435000000000002</v>
      </c>
      <c r="E68">
        <v>0.243506039239165</v>
      </c>
    </row>
    <row r="69" spans="1:5" x14ac:dyDescent="0.35">
      <c r="A69" s="1">
        <v>43840</v>
      </c>
      <c r="B69" s="1">
        <v>44001</v>
      </c>
      <c r="C69">
        <v>283</v>
      </c>
      <c r="D69">
        <v>46.53</v>
      </c>
      <c r="E69">
        <v>0.240329301599703</v>
      </c>
    </row>
    <row r="70" spans="1:5" x14ac:dyDescent="0.35">
      <c r="A70" s="1">
        <v>43840</v>
      </c>
      <c r="B70" s="1">
        <v>44001</v>
      </c>
      <c r="C70">
        <v>284</v>
      </c>
      <c r="D70">
        <v>45.64</v>
      </c>
      <c r="E70">
        <v>0.23738743247022201</v>
      </c>
    </row>
    <row r="71" spans="1:5" x14ac:dyDescent="0.35">
      <c r="A71" s="1">
        <v>43840</v>
      </c>
      <c r="B71" s="1">
        <v>44001</v>
      </c>
      <c r="C71">
        <v>285</v>
      </c>
      <c r="D71">
        <v>44.744999999999997</v>
      </c>
      <c r="E71">
        <v>0.23435112535452601</v>
      </c>
    </row>
    <row r="72" spans="1:5" x14ac:dyDescent="0.35">
      <c r="A72" s="1">
        <v>43840</v>
      </c>
      <c r="B72" s="1">
        <v>44001</v>
      </c>
      <c r="C72">
        <v>286</v>
      </c>
      <c r="D72">
        <v>43.86</v>
      </c>
      <c r="E72">
        <v>0.23146164744804201</v>
      </c>
    </row>
    <row r="73" spans="1:5" x14ac:dyDescent="0.35">
      <c r="A73" s="1">
        <v>43840</v>
      </c>
      <c r="B73" s="1">
        <v>44001</v>
      </c>
      <c r="C73">
        <v>287</v>
      </c>
      <c r="D73">
        <v>42.965000000000003</v>
      </c>
      <c r="E73">
        <v>0.22839838795564699</v>
      </c>
    </row>
    <row r="74" spans="1:5" x14ac:dyDescent="0.35">
      <c r="A74" s="1">
        <v>43840</v>
      </c>
      <c r="B74" s="1">
        <v>44001</v>
      </c>
      <c r="C74">
        <v>288</v>
      </c>
      <c r="D74">
        <v>42.08</v>
      </c>
      <c r="E74">
        <v>0.225481118982473</v>
      </c>
    </row>
    <row r="75" spans="1:5" x14ac:dyDescent="0.35">
      <c r="A75" s="1">
        <v>43840</v>
      </c>
      <c r="B75" s="1">
        <v>44001</v>
      </c>
      <c r="C75">
        <v>289</v>
      </c>
      <c r="D75">
        <v>41.195</v>
      </c>
      <c r="E75">
        <v>0.22254460173447499</v>
      </c>
    </row>
    <row r="76" spans="1:5" x14ac:dyDescent="0.35">
      <c r="A76" s="1">
        <v>43840</v>
      </c>
      <c r="B76" s="1">
        <v>44001</v>
      </c>
      <c r="C76">
        <v>290</v>
      </c>
      <c r="D76">
        <v>40.314999999999998</v>
      </c>
      <c r="E76">
        <v>0.21966804648739899</v>
      </c>
    </row>
    <row r="77" spans="1:5" x14ac:dyDescent="0.35">
      <c r="A77" s="1">
        <v>43840</v>
      </c>
      <c r="B77" s="1">
        <v>44001</v>
      </c>
      <c r="C77">
        <v>291</v>
      </c>
      <c r="D77">
        <v>39.424999999999997</v>
      </c>
      <c r="E77">
        <v>0.21662109356206399</v>
      </c>
    </row>
    <row r="78" spans="1:5" x14ac:dyDescent="0.35">
      <c r="A78" s="1">
        <v>43840</v>
      </c>
      <c r="B78" s="1">
        <v>44001</v>
      </c>
      <c r="C78">
        <v>292</v>
      </c>
      <c r="D78">
        <v>38.555</v>
      </c>
      <c r="E78">
        <v>0.21385904233564099</v>
      </c>
    </row>
    <row r="79" spans="1:5" x14ac:dyDescent="0.35">
      <c r="A79" s="1">
        <v>43840</v>
      </c>
      <c r="B79" s="1">
        <v>44001</v>
      </c>
      <c r="C79">
        <v>293</v>
      </c>
      <c r="D79">
        <v>37.695</v>
      </c>
      <c r="E79">
        <v>0.211223652051865</v>
      </c>
    </row>
    <row r="80" spans="1:5" x14ac:dyDescent="0.35">
      <c r="A80" s="1">
        <v>43840</v>
      </c>
      <c r="B80" s="1">
        <v>44001</v>
      </c>
      <c r="C80">
        <v>294</v>
      </c>
      <c r="D80">
        <v>36.82</v>
      </c>
      <c r="E80">
        <v>0.20834176114328601</v>
      </c>
    </row>
    <row r="81" spans="1:5" x14ac:dyDescent="0.35">
      <c r="A81" s="1">
        <v>43840</v>
      </c>
      <c r="B81" s="1">
        <v>44001</v>
      </c>
      <c r="C81">
        <v>295</v>
      </c>
      <c r="D81">
        <v>35.96</v>
      </c>
      <c r="E81">
        <v>0.20565733732411101</v>
      </c>
    </row>
    <row r="82" spans="1:5" x14ac:dyDescent="0.35">
      <c r="A82" s="1">
        <v>43840</v>
      </c>
      <c r="B82" s="1">
        <v>44001</v>
      </c>
      <c r="C82">
        <v>296</v>
      </c>
      <c r="D82">
        <v>35.104999999999997</v>
      </c>
      <c r="E82">
        <v>0.203018214388688</v>
      </c>
    </row>
    <row r="83" spans="1:5" x14ac:dyDescent="0.35">
      <c r="A83" s="1">
        <v>43840</v>
      </c>
      <c r="B83" s="1">
        <v>44001</v>
      </c>
      <c r="C83">
        <v>297</v>
      </c>
      <c r="D83">
        <v>34.24</v>
      </c>
      <c r="E83">
        <v>0.20021046093217401</v>
      </c>
    </row>
    <row r="84" spans="1:5" x14ac:dyDescent="0.35">
      <c r="A84" s="1">
        <v>43840</v>
      </c>
      <c r="B84" s="1">
        <v>44001</v>
      </c>
      <c r="C84">
        <v>298</v>
      </c>
      <c r="D84">
        <v>33.39</v>
      </c>
      <c r="E84">
        <v>0.19758631222782799</v>
      </c>
    </row>
    <row r="85" spans="1:5" x14ac:dyDescent="0.35">
      <c r="A85" s="1">
        <v>43840</v>
      </c>
      <c r="B85" s="1">
        <v>44001</v>
      </c>
      <c r="C85">
        <v>299</v>
      </c>
      <c r="D85">
        <v>32.549999999999997</v>
      </c>
      <c r="E85">
        <v>0.19507399033612699</v>
      </c>
    </row>
    <row r="86" spans="1:5" x14ac:dyDescent="0.35">
      <c r="A86" s="1">
        <v>43840</v>
      </c>
      <c r="B86" s="1">
        <v>44001</v>
      </c>
      <c r="C86">
        <v>300</v>
      </c>
      <c r="D86">
        <v>31.7</v>
      </c>
      <c r="E86">
        <v>0.19238955151133799</v>
      </c>
    </row>
    <row r="87" spans="1:5" x14ac:dyDescent="0.35">
      <c r="A87" s="1">
        <v>43840</v>
      </c>
      <c r="B87" s="1">
        <v>44001</v>
      </c>
      <c r="C87">
        <v>301</v>
      </c>
      <c r="D87">
        <v>30.855</v>
      </c>
      <c r="E87">
        <v>0.18974318923358199</v>
      </c>
    </row>
    <row r="88" spans="1:5" x14ac:dyDescent="0.35">
      <c r="A88" s="1">
        <v>43840</v>
      </c>
      <c r="B88" s="1">
        <v>44001</v>
      </c>
      <c r="C88">
        <v>302</v>
      </c>
      <c r="D88">
        <v>30.024999999999999</v>
      </c>
      <c r="E88">
        <v>0.18726703855965399</v>
      </c>
    </row>
    <row r="89" spans="1:5" x14ac:dyDescent="0.35">
      <c r="A89" s="1">
        <v>43840</v>
      </c>
      <c r="B89" s="1">
        <v>44001</v>
      </c>
      <c r="C89">
        <v>303</v>
      </c>
      <c r="D89">
        <v>29.184999999999999</v>
      </c>
      <c r="E89">
        <v>0.18461854552626999</v>
      </c>
    </row>
    <row r="90" spans="1:5" x14ac:dyDescent="0.35">
      <c r="A90" s="1">
        <v>43840</v>
      </c>
      <c r="B90" s="1">
        <v>44001</v>
      </c>
      <c r="C90">
        <v>304</v>
      </c>
      <c r="D90">
        <v>28.364999999999998</v>
      </c>
      <c r="E90">
        <v>0.18220151424734199</v>
      </c>
    </row>
    <row r="91" spans="1:5" x14ac:dyDescent="0.35">
      <c r="A91" s="1">
        <v>43840</v>
      </c>
      <c r="B91" s="1">
        <v>44001</v>
      </c>
      <c r="C91">
        <v>305</v>
      </c>
      <c r="D91">
        <v>27.54</v>
      </c>
      <c r="E91">
        <v>0.17967751269457999</v>
      </c>
    </row>
    <row r="92" spans="1:5" x14ac:dyDescent="0.35">
      <c r="A92" s="1">
        <v>43840</v>
      </c>
      <c r="B92" s="1">
        <v>44001</v>
      </c>
      <c r="C92">
        <v>306</v>
      </c>
      <c r="D92">
        <v>26.725000000000001</v>
      </c>
      <c r="E92">
        <v>0.17724391294505801</v>
      </c>
    </row>
    <row r="93" spans="1:5" x14ac:dyDescent="0.35">
      <c r="A93" s="1">
        <v>43840</v>
      </c>
      <c r="B93" s="1">
        <v>44001</v>
      </c>
      <c r="C93">
        <v>307</v>
      </c>
      <c r="D93">
        <v>25.92</v>
      </c>
      <c r="E93">
        <v>0.174896250702676</v>
      </c>
    </row>
    <row r="94" spans="1:5" x14ac:dyDescent="0.35">
      <c r="A94" s="1">
        <v>43840</v>
      </c>
      <c r="B94" s="1">
        <v>44001</v>
      </c>
      <c r="C94">
        <v>308</v>
      </c>
      <c r="D94">
        <v>25.12</v>
      </c>
      <c r="E94">
        <v>0.172566014963554</v>
      </c>
    </row>
    <row r="95" spans="1:5" x14ac:dyDescent="0.35">
      <c r="A95" s="1">
        <v>43840</v>
      </c>
      <c r="B95" s="1">
        <v>44001</v>
      </c>
      <c r="C95">
        <v>309</v>
      </c>
      <c r="D95">
        <v>24.315000000000001</v>
      </c>
      <c r="E95">
        <v>0.170123637416008</v>
      </c>
    </row>
    <row r="96" spans="1:5" x14ac:dyDescent="0.35">
      <c r="A96" s="1">
        <v>43840</v>
      </c>
      <c r="B96" s="1">
        <v>44001</v>
      </c>
      <c r="C96">
        <v>310</v>
      </c>
      <c r="D96">
        <v>23.515000000000001</v>
      </c>
      <c r="E96">
        <v>0.16769595244840599</v>
      </c>
    </row>
    <row r="97" spans="1:5" x14ac:dyDescent="0.35">
      <c r="A97" s="1">
        <v>43840</v>
      </c>
      <c r="B97" s="1">
        <v>44001</v>
      </c>
      <c r="C97">
        <v>311</v>
      </c>
      <c r="D97">
        <v>22.725000000000001</v>
      </c>
      <c r="E97">
        <v>0.16534272363552599</v>
      </c>
    </row>
    <row r="98" spans="1:5" x14ac:dyDescent="0.35">
      <c r="A98" s="1">
        <v>43840</v>
      </c>
      <c r="B98" s="1">
        <v>44001</v>
      </c>
      <c r="C98">
        <v>312</v>
      </c>
      <c r="D98">
        <v>21.945</v>
      </c>
      <c r="E98">
        <v>0.16305966535639899</v>
      </c>
    </row>
    <row r="99" spans="1:5" x14ac:dyDescent="0.35">
      <c r="A99" s="1">
        <v>43840</v>
      </c>
      <c r="B99" s="1">
        <v>44001</v>
      </c>
      <c r="C99">
        <v>313</v>
      </c>
      <c r="D99">
        <v>21.17</v>
      </c>
      <c r="E99">
        <v>0.16078124990877399</v>
      </c>
    </row>
    <row r="100" spans="1:5" x14ac:dyDescent="0.35">
      <c r="A100" s="1">
        <v>43840</v>
      </c>
      <c r="B100" s="1">
        <v>44001</v>
      </c>
      <c r="C100">
        <v>314</v>
      </c>
      <c r="D100">
        <v>20.39</v>
      </c>
      <c r="E100">
        <v>0.15838310719416801</v>
      </c>
    </row>
    <row r="101" spans="1:5" x14ac:dyDescent="0.35">
      <c r="A101" s="1">
        <v>43840</v>
      </c>
      <c r="B101" s="1">
        <v>44001</v>
      </c>
      <c r="C101">
        <v>315</v>
      </c>
      <c r="D101">
        <v>19.64</v>
      </c>
      <c r="E101">
        <v>0.156288022006976</v>
      </c>
    </row>
    <row r="102" spans="1:5" x14ac:dyDescent="0.35">
      <c r="A102" s="1">
        <v>43840</v>
      </c>
      <c r="B102" s="1">
        <v>44001</v>
      </c>
      <c r="C102">
        <v>316</v>
      </c>
      <c r="D102">
        <v>18.88</v>
      </c>
      <c r="E102">
        <v>0.15400701477120499</v>
      </c>
    </row>
    <row r="103" spans="1:5" x14ac:dyDescent="0.35">
      <c r="A103" s="1">
        <v>43840</v>
      </c>
      <c r="B103" s="1">
        <v>44001</v>
      </c>
      <c r="C103">
        <v>317</v>
      </c>
      <c r="D103">
        <v>18.14</v>
      </c>
      <c r="E103">
        <v>0.15189819560607701</v>
      </c>
    </row>
    <row r="104" spans="1:5" x14ac:dyDescent="0.35">
      <c r="A104" s="1">
        <v>43840</v>
      </c>
      <c r="B104" s="1">
        <v>44001</v>
      </c>
      <c r="C104">
        <v>318</v>
      </c>
      <c r="D104">
        <v>17.399999999999999</v>
      </c>
      <c r="E104">
        <v>0.14971872606025499</v>
      </c>
    </row>
    <row r="105" spans="1:5" x14ac:dyDescent="0.35">
      <c r="A105" s="1">
        <v>43840</v>
      </c>
      <c r="B105" s="1">
        <v>44001</v>
      </c>
      <c r="C105">
        <v>319</v>
      </c>
      <c r="D105">
        <v>16.664999999999999</v>
      </c>
      <c r="E105">
        <v>0.14752562979662301</v>
      </c>
    </row>
    <row r="106" spans="1:5" x14ac:dyDescent="0.35">
      <c r="A106" s="1">
        <v>43840</v>
      </c>
      <c r="B106" s="1">
        <v>44001</v>
      </c>
      <c r="C106">
        <v>320</v>
      </c>
      <c r="D106">
        <v>15.945</v>
      </c>
      <c r="E106">
        <v>0.14543256800898</v>
      </c>
    </row>
    <row r="107" spans="1:5" x14ac:dyDescent="0.35">
      <c r="A107" s="1">
        <v>43840</v>
      </c>
      <c r="B107" s="1">
        <v>44001</v>
      </c>
      <c r="C107">
        <v>321</v>
      </c>
      <c r="D107">
        <v>15.23</v>
      </c>
      <c r="E107">
        <v>0.14331841874669499</v>
      </c>
    </row>
    <row r="108" spans="1:5" x14ac:dyDescent="0.35">
      <c r="A108" s="1">
        <v>43840</v>
      </c>
      <c r="B108" s="1">
        <v>44001</v>
      </c>
      <c r="C108">
        <v>322</v>
      </c>
      <c r="D108">
        <v>14.53</v>
      </c>
      <c r="E108">
        <v>0.141295477383998</v>
      </c>
    </row>
    <row r="109" spans="1:5" x14ac:dyDescent="0.35">
      <c r="A109" s="1">
        <v>43840</v>
      </c>
      <c r="B109" s="1">
        <v>44001</v>
      </c>
      <c r="C109">
        <v>323</v>
      </c>
      <c r="D109">
        <v>13.84</v>
      </c>
      <c r="E109">
        <v>0.139300897141724</v>
      </c>
    </row>
    <row r="110" spans="1:5" x14ac:dyDescent="0.35">
      <c r="A110" s="1">
        <v>43840</v>
      </c>
      <c r="B110" s="1">
        <v>44001</v>
      </c>
      <c r="C110">
        <v>324</v>
      </c>
      <c r="D110">
        <v>13.154999999999999</v>
      </c>
      <c r="E110">
        <v>0.137276083903557</v>
      </c>
    </row>
    <row r="111" spans="1:5" x14ac:dyDescent="0.35">
      <c r="A111" s="1">
        <v>43840</v>
      </c>
      <c r="B111" s="1">
        <v>44001</v>
      </c>
      <c r="C111">
        <v>325</v>
      </c>
      <c r="D111">
        <v>12.494999999999999</v>
      </c>
      <c r="E111">
        <v>0.13544064085792401</v>
      </c>
    </row>
    <row r="112" spans="1:5" x14ac:dyDescent="0.35">
      <c r="A112" s="1">
        <v>43840</v>
      </c>
      <c r="B112" s="1">
        <v>44001</v>
      </c>
      <c r="C112">
        <v>326</v>
      </c>
      <c r="D112">
        <v>11.845000000000001</v>
      </c>
      <c r="E112">
        <v>0.13362177831323499</v>
      </c>
    </row>
    <row r="113" spans="1:5" x14ac:dyDescent="0.35">
      <c r="A113" s="1">
        <v>43840</v>
      </c>
      <c r="B113" s="1">
        <v>44001</v>
      </c>
      <c r="C113">
        <v>327</v>
      </c>
      <c r="D113">
        <v>11.205</v>
      </c>
      <c r="E113">
        <v>0.131815715433516</v>
      </c>
    </row>
    <row r="114" spans="1:5" x14ac:dyDescent="0.35">
      <c r="A114" s="1">
        <v>43840</v>
      </c>
      <c r="B114" s="1">
        <v>44001</v>
      </c>
      <c r="C114">
        <v>328</v>
      </c>
      <c r="D114">
        <v>10.574999999999999</v>
      </c>
      <c r="E114">
        <v>0.13001856803074799</v>
      </c>
    </row>
    <row r="115" spans="1:5" x14ac:dyDescent="0.35">
      <c r="A115" s="1">
        <v>43840</v>
      </c>
      <c r="B115" s="1">
        <v>44001</v>
      </c>
      <c r="C115">
        <v>329</v>
      </c>
      <c r="D115">
        <v>9.9749999999999996</v>
      </c>
      <c r="E115">
        <v>0.128450373987605</v>
      </c>
    </row>
    <row r="116" spans="1:5" x14ac:dyDescent="0.35">
      <c r="A116" s="1">
        <v>43840</v>
      </c>
      <c r="B116" s="1">
        <v>44001</v>
      </c>
      <c r="C116">
        <v>330</v>
      </c>
      <c r="D116">
        <v>9.3800000000000008</v>
      </c>
      <c r="E116">
        <v>0.12682800479781001</v>
      </c>
    </row>
    <row r="117" spans="1:5" x14ac:dyDescent="0.35">
      <c r="A117" s="1">
        <v>43840</v>
      </c>
      <c r="B117" s="1">
        <v>44001</v>
      </c>
      <c r="C117">
        <v>331</v>
      </c>
      <c r="D117">
        <v>8.8049999999999997</v>
      </c>
      <c r="E117">
        <v>0.125314830810452</v>
      </c>
    </row>
    <row r="118" spans="1:5" x14ac:dyDescent="0.35">
      <c r="A118" s="1">
        <v>43840</v>
      </c>
      <c r="B118" s="1">
        <v>44001</v>
      </c>
      <c r="C118">
        <v>332</v>
      </c>
      <c r="D118">
        <v>8.24</v>
      </c>
      <c r="E118">
        <v>0.123794466540102</v>
      </c>
    </row>
    <row r="119" spans="1:5" x14ac:dyDescent="0.35">
      <c r="A119" s="1">
        <v>43840</v>
      </c>
      <c r="B119" s="1">
        <v>44001</v>
      </c>
      <c r="C119">
        <v>333</v>
      </c>
      <c r="D119">
        <v>7.7</v>
      </c>
      <c r="E119">
        <v>0.122435478672501</v>
      </c>
    </row>
    <row r="120" spans="1:5" x14ac:dyDescent="0.35">
      <c r="A120" s="1">
        <v>43840</v>
      </c>
      <c r="B120" s="1">
        <v>44001</v>
      </c>
      <c r="C120">
        <v>334</v>
      </c>
      <c r="D120">
        <v>7.18</v>
      </c>
      <c r="E120">
        <v>0.121178775175337</v>
      </c>
    </row>
    <row r="121" spans="1:5" x14ac:dyDescent="0.35">
      <c r="A121" s="1">
        <v>43840</v>
      </c>
      <c r="B121" s="1">
        <v>44001</v>
      </c>
      <c r="C121">
        <v>335</v>
      </c>
      <c r="D121">
        <v>6.6749999999999998</v>
      </c>
      <c r="E121">
        <v>0.11996467287775101</v>
      </c>
    </row>
    <row r="122" spans="1:5" x14ac:dyDescent="0.35">
      <c r="A122" s="1">
        <v>43840</v>
      </c>
      <c r="B122" s="1">
        <v>44001</v>
      </c>
      <c r="C122">
        <v>336</v>
      </c>
      <c r="D122">
        <v>6.2</v>
      </c>
      <c r="E122">
        <v>0.11896713819423201</v>
      </c>
    </row>
    <row r="123" spans="1:5" x14ac:dyDescent="0.35">
      <c r="A123" s="1">
        <v>43840</v>
      </c>
      <c r="B123" s="1">
        <v>44001</v>
      </c>
      <c r="C123">
        <v>337</v>
      </c>
      <c r="D123">
        <v>5.74</v>
      </c>
      <c r="E123">
        <v>0.11801130508453</v>
      </c>
    </row>
    <row r="124" spans="1:5" x14ac:dyDescent="0.35">
      <c r="A124" s="1">
        <v>43840</v>
      </c>
      <c r="B124" s="1">
        <v>44001</v>
      </c>
      <c r="C124">
        <v>338</v>
      </c>
      <c r="D124">
        <v>5.3</v>
      </c>
      <c r="E124">
        <v>0.117156062886275</v>
      </c>
    </row>
    <row r="125" spans="1:5" x14ac:dyDescent="0.35">
      <c r="A125" s="1">
        <v>43840</v>
      </c>
      <c r="B125" s="1">
        <v>44001</v>
      </c>
      <c r="C125">
        <v>339</v>
      </c>
      <c r="D125">
        <v>4.8899999999999997</v>
      </c>
      <c r="E125">
        <v>0.116527570280493</v>
      </c>
    </row>
    <row r="126" spans="1:5" x14ac:dyDescent="0.35">
      <c r="A126" s="1">
        <v>43840</v>
      </c>
      <c r="B126" s="1">
        <v>44001</v>
      </c>
      <c r="C126">
        <v>340</v>
      </c>
      <c r="D126">
        <v>4.5</v>
      </c>
      <c r="E126">
        <v>0.116004065702555</v>
      </c>
    </row>
    <row r="127" spans="1:5" x14ac:dyDescent="0.35">
      <c r="A127" s="1">
        <v>43840</v>
      </c>
      <c r="B127" s="1">
        <v>44001</v>
      </c>
      <c r="C127">
        <v>341</v>
      </c>
      <c r="D127">
        <v>4.13</v>
      </c>
      <c r="E127">
        <v>0.11559431919520401</v>
      </c>
    </row>
    <row r="128" spans="1:5" x14ac:dyDescent="0.35">
      <c r="A128" s="1">
        <v>43840</v>
      </c>
      <c r="B128" s="1">
        <v>44001</v>
      </c>
      <c r="C128">
        <v>342</v>
      </c>
      <c r="D128">
        <v>3.78</v>
      </c>
      <c r="E128">
        <v>0.115302076711918</v>
      </c>
    </row>
    <row r="129" spans="1:5" x14ac:dyDescent="0.35">
      <c r="A129" s="1">
        <v>43840</v>
      </c>
      <c r="B129" s="1">
        <v>44001</v>
      </c>
      <c r="C129">
        <v>343</v>
      </c>
      <c r="D129">
        <v>3.4550000000000001</v>
      </c>
      <c r="E129">
        <v>0.115197889663959</v>
      </c>
    </row>
    <row r="130" spans="1:5" x14ac:dyDescent="0.35">
      <c r="A130" s="1">
        <v>43840</v>
      </c>
      <c r="B130" s="1">
        <v>44001</v>
      </c>
      <c r="C130">
        <v>344</v>
      </c>
      <c r="D130">
        <v>3.1549999999999998</v>
      </c>
      <c r="E130">
        <v>0.115292433944127</v>
      </c>
    </row>
    <row r="131" spans="1:5" x14ac:dyDescent="0.35">
      <c r="A131" s="1">
        <v>43840</v>
      </c>
      <c r="B131" s="1">
        <v>44001</v>
      </c>
      <c r="C131">
        <v>345</v>
      </c>
      <c r="D131">
        <v>2.87</v>
      </c>
      <c r="E131">
        <v>0.11546465816568501</v>
      </c>
    </row>
    <row r="132" spans="1:5" x14ac:dyDescent="0.35">
      <c r="A132" s="1">
        <v>43840</v>
      </c>
      <c r="B132" s="1">
        <v>44001</v>
      </c>
      <c r="C132">
        <v>346</v>
      </c>
      <c r="D132">
        <v>2.605</v>
      </c>
      <c r="E132">
        <v>0.115788866477707</v>
      </c>
    </row>
    <row r="133" spans="1:5" x14ac:dyDescent="0.35">
      <c r="A133" s="1">
        <v>43840</v>
      </c>
      <c r="B133" s="1">
        <v>44001</v>
      </c>
      <c r="C133">
        <v>347</v>
      </c>
      <c r="D133">
        <v>2.37</v>
      </c>
      <c r="E133">
        <v>0.116414545195835</v>
      </c>
    </row>
    <row r="134" spans="1:5" x14ac:dyDescent="0.35">
      <c r="A134" s="1">
        <v>43840</v>
      </c>
      <c r="B134" s="1">
        <v>44001</v>
      </c>
      <c r="C134">
        <v>348</v>
      </c>
      <c r="D134">
        <v>2.15</v>
      </c>
      <c r="E134">
        <v>0.117150406454608</v>
      </c>
    </row>
    <row r="135" spans="1:5" x14ac:dyDescent="0.35">
      <c r="A135" s="1">
        <v>43840</v>
      </c>
      <c r="B135" s="1">
        <v>44001</v>
      </c>
      <c r="C135">
        <v>349</v>
      </c>
      <c r="D135">
        <v>1.95</v>
      </c>
      <c r="E135">
        <v>0.11807781894903401</v>
      </c>
    </row>
    <row r="136" spans="1:5" x14ac:dyDescent="0.35">
      <c r="A136" s="1">
        <v>43840</v>
      </c>
      <c r="B136" s="1">
        <v>44001</v>
      </c>
      <c r="C136">
        <v>350</v>
      </c>
      <c r="D136">
        <v>1.7649999999999999</v>
      </c>
      <c r="E136">
        <v>0.11913784608738701</v>
      </c>
    </row>
    <row r="137" spans="1:5" x14ac:dyDescent="0.35">
      <c r="A137" s="1">
        <v>43840</v>
      </c>
      <c r="B137" s="1">
        <v>44001</v>
      </c>
      <c r="C137">
        <v>351</v>
      </c>
      <c r="D137">
        <v>1.6</v>
      </c>
      <c r="E137">
        <v>0.12041573125935</v>
      </c>
    </row>
    <row r="138" spans="1:5" x14ac:dyDescent="0.35">
      <c r="A138" s="1">
        <v>43840</v>
      </c>
      <c r="B138" s="1">
        <v>44001</v>
      </c>
      <c r="C138">
        <v>352</v>
      </c>
      <c r="D138">
        <v>1.45</v>
      </c>
      <c r="E138">
        <v>0.121851081495001</v>
      </c>
    </row>
    <row r="139" spans="1:5" x14ac:dyDescent="0.35">
      <c r="A139" s="1">
        <v>43840</v>
      </c>
      <c r="B139" s="1">
        <v>44001</v>
      </c>
      <c r="C139">
        <v>353</v>
      </c>
      <c r="D139">
        <v>1.31</v>
      </c>
      <c r="E139">
        <v>0.123377150216013</v>
      </c>
    </row>
    <row r="140" spans="1:5" x14ac:dyDescent="0.35">
      <c r="A140" s="1">
        <v>43840</v>
      </c>
      <c r="B140" s="1">
        <v>44001</v>
      </c>
      <c r="C140">
        <v>354</v>
      </c>
      <c r="D140">
        <v>1.19</v>
      </c>
      <c r="E140">
        <v>0.12515683092636201</v>
      </c>
    </row>
    <row r="141" spans="1:5" x14ac:dyDescent="0.35">
      <c r="A141" s="1">
        <v>43840</v>
      </c>
      <c r="B141" s="1">
        <v>44001</v>
      </c>
      <c r="C141">
        <v>355</v>
      </c>
      <c r="D141">
        <v>1.08</v>
      </c>
      <c r="E141">
        <v>0.127049196670318</v>
      </c>
    </row>
    <row r="142" spans="1:5" x14ac:dyDescent="0.35">
      <c r="A142" s="1">
        <v>43840</v>
      </c>
      <c r="B142" s="1">
        <v>44001</v>
      </c>
      <c r="C142">
        <v>356</v>
      </c>
      <c r="D142">
        <v>0.98</v>
      </c>
      <c r="E142">
        <v>0.12905870649395401</v>
      </c>
    </row>
    <row r="143" spans="1:5" x14ac:dyDescent="0.35">
      <c r="A143" s="1">
        <v>43840</v>
      </c>
      <c r="B143" s="1">
        <v>44001</v>
      </c>
      <c r="C143">
        <v>357</v>
      </c>
      <c r="D143">
        <v>0.89</v>
      </c>
      <c r="E143">
        <v>0.13119311385452401</v>
      </c>
    </row>
    <row r="144" spans="1:5" x14ac:dyDescent="0.35">
      <c r="A144" s="1">
        <v>43840</v>
      </c>
      <c r="B144" s="1">
        <v>44001</v>
      </c>
      <c r="C144">
        <v>358</v>
      </c>
      <c r="D144">
        <v>0.80500000000000005</v>
      </c>
      <c r="E144">
        <v>0.13337693885996499</v>
      </c>
    </row>
    <row r="145" spans="1:5" x14ac:dyDescent="0.35">
      <c r="A145" s="1">
        <v>43840</v>
      </c>
      <c r="B145" s="1">
        <v>44001</v>
      </c>
      <c r="C145">
        <v>360</v>
      </c>
      <c r="D145">
        <v>0.67500000000000004</v>
      </c>
      <c r="E145">
        <v>0.13832155238060501</v>
      </c>
    </row>
    <row r="146" spans="1:5" x14ac:dyDescent="0.35">
      <c r="A146" s="1">
        <v>43840</v>
      </c>
      <c r="B146" s="1">
        <v>44001</v>
      </c>
      <c r="C146">
        <v>365</v>
      </c>
      <c r="D146">
        <v>0.42499999999999999</v>
      </c>
      <c r="E146">
        <v>0.151613925842876</v>
      </c>
    </row>
    <row r="147" spans="1:5" x14ac:dyDescent="0.35">
      <c r="A147" s="1">
        <v>43840</v>
      </c>
      <c r="B147" s="1">
        <v>44001</v>
      </c>
      <c r="C147">
        <v>370</v>
      </c>
      <c r="D147">
        <v>0.27500000000000002</v>
      </c>
      <c r="E147">
        <v>0.16628004490058301</v>
      </c>
    </row>
    <row r="148" spans="1:5" x14ac:dyDescent="0.35">
      <c r="A148" s="1">
        <v>43840</v>
      </c>
      <c r="B148" s="1">
        <v>44001</v>
      </c>
      <c r="C148">
        <v>375</v>
      </c>
      <c r="D148">
        <v>0.18</v>
      </c>
      <c r="E148">
        <v>0.18164896861159699</v>
      </c>
    </row>
    <row r="149" spans="1:5" x14ac:dyDescent="0.35">
      <c r="A149" s="1">
        <v>43840</v>
      </c>
      <c r="B149" s="1">
        <v>44001</v>
      </c>
      <c r="C149">
        <v>380</v>
      </c>
      <c r="D149">
        <v>0.12</v>
      </c>
      <c r="E149">
        <v>0.19740691931815499</v>
      </c>
    </row>
    <row r="150" spans="1:5" x14ac:dyDescent="0.35">
      <c r="A150" s="1">
        <v>43840</v>
      </c>
      <c r="B150" s="1">
        <v>44001</v>
      </c>
      <c r="C150">
        <v>385</v>
      </c>
      <c r="D150">
        <v>0.08</v>
      </c>
      <c r="E150">
        <v>0.21329949601126499</v>
      </c>
    </row>
    <row r="151" spans="1:5" x14ac:dyDescent="0.35">
      <c r="A151" s="1">
        <v>43840</v>
      </c>
      <c r="B151" s="1">
        <v>44001</v>
      </c>
      <c r="C151">
        <v>390</v>
      </c>
      <c r="D151">
        <v>0.06</v>
      </c>
      <c r="E151">
        <v>0.22933856781172099</v>
      </c>
    </row>
    <row r="152" spans="1:5" x14ac:dyDescent="0.35">
      <c r="A152" s="1">
        <v>43840</v>
      </c>
      <c r="B152" s="1">
        <v>44001</v>
      </c>
      <c r="C152">
        <v>395</v>
      </c>
      <c r="D152">
        <v>0.04</v>
      </c>
      <c r="E152">
        <v>0.245168652682792</v>
      </c>
    </row>
    <row r="153" spans="1:5" x14ac:dyDescent="0.35">
      <c r="A153" s="1">
        <v>43840</v>
      </c>
      <c r="B153" s="1">
        <v>44001</v>
      </c>
      <c r="C153">
        <v>400</v>
      </c>
      <c r="D153">
        <v>0.03</v>
      </c>
      <c r="E153">
        <v>0.26097531271863</v>
      </c>
    </row>
    <row r="154" spans="1:5" x14ac:dyDescent="0.35">
      <c r="A154" s="1">
        <v>43840</v>
      </c>
      <c r="B154" s="1">
        <v>44001</v>
      </c>
      <c r="C154">
        <v>405</v>
      </c>
      <c r="D154">
        <v>0.03</v>
      </c>
      <c r="E154">
        <v>0.276757857023883</v>
      </c>
    </row>
    <row r="155" spans="1:5" x14ac:dyDescent="0.35">
      <c r="A155" s="1">
        <v>43840</v>
      </c>
      <c r="B155" s="1">
        <v>44001</v>
      </c>
      <c r="C155">
        <v>410</v>
      </c>
      <c r="D155">
        <v>0.02</v>
      </c>
      <c r="E155">
        <v>0.29216897564452499</v>
      </c>
    </row>
    <row r="156" spans="1:5" x14ac:dyDescent="0.35">
      <c r="A156" s="1">
        <v>43840</v>
      </c>
      <c r="B156" s="1">
        <v>44001</v>
      </c>
      <c r="C156">
        <v>415</v>
      </c>
      <c r="D156">
        <v>0.02</v>
      </c>
      <c r="E156">
        <v>0.30756813223783502</v>
      </c>
    </row>
    <row r="157" spans="1:5" x14ac:dyDescent="0.35">
      <c r="A157" s="1">
        <v>43840</v>
      </c>
      <c r="B157" s="1">
        <v>44001</v>
      </c>
      <c r="C157">
        <v>420</v>
      </c>
      <c r="D157">
        <v>0.02</v>
      </c>
      <c r="E157">
        <v>0.32278042617470798</v>
      </c>
    </row>
    <row r="158" spans="1:5" x14ac:dyDescent="0.35">
      <c r="A158" s="1">
        <v>43840</v>
      </c>
      <c r="B158" s="1">
        <v>44001</v>
      </c>
      <c r="C158">
        <v>425</v>
      </c>
      <c r="D158">
        <v>0.01</v>
      </c>
      <c r="E158">
        <v>0.33763574667232599</v>
      </c>
    </row>
    <row r="159" spans="1:5" x14ac:dyDescent="0.35">
      <c r="A159" s="1">
        <v>43840</v>
      </c>
      <c r="B159" s="1">
        <v>44001</v>
      </c>
      <c r="C159">
        <v>430</v>
      </c>
      <c r="D159">
        <v>0.01</v>
      </c>
      <c r="E159">
        <v>0.35248985441642999</v>
      </c>
    </row>
    <row r="160" spans="1:5" x14ac:dyDescent="0.35">
      <c r="A160" s="1">
        <v>43840</v>
      </c>
      <c r="B160" s="1">
        <v>44001</v>
      </c>
      <c r="C160">
        <v>435</v>
      </c>
      <c r="D160">
        <v>0.01</v>
      </c>
      <c r="E160">
        <v>0.367170104273774</v>
      </c>
    </row>
    <row r="161" spans="1:5" x14ac:dyDescent="0.35">
      <c r="A161" s="1">
        <v>43840</v>
      </c>
      <c r="B161" s="1">
        <v>44001</v>
      </c>
      <c r="C161">
        <v>440</v>
      </c>
      <c r="D161">
        <v>0.01</v>
      </c>
      <c r="E161">
        <v>0.381680167128786</v>
      </c>
    </row>
  </sheetData>
  <mergeCells count="1">
    <mergeCell ref="L18:P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SPYcallIV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Linqing Bian</cp:lastModifiedBy>
  <dcterms:created xsi:type="dcterms:W3CDTF">2022-04-09T00:11:39Z</dcterms:created>
  <dcterms:modified xsi:type="dcterms:W3CDTF">2022-04-09T00:17:57Z</dcterms:modified>
</cp:coreProperties>
</file>