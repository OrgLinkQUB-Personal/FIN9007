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QUB\FIN9007\"/>
    </mc:Choice>
  </mc:AlternateContent>
  <xr:revisionPtr revIDLastSave="0" documentId="13_ncr:40009_{C15FB6BB-FAD5-4C64-B02F-D9B47472D1B5}" xr6:coauthVersionLast="47" xr6:coauthVersionMax="47" xr10:uidLastSave="{00000000-0000-0000-0000-000000000000}"/>
  <bookViews>
    <workbookView xWindow="-23172" yWindow="-132" windowWidth="23304" windowHeight="12504" activeTab="1"/>
  </bookViews>
  <sheets>
    <sheet name="Sheet1" sheetId="2" r:id="rId1"/>
    <sheet name="SPXputIV" sheetId="1" r:id="rId2"/>
    <sheet name="Sheet2" sheetId="3" r:id="rId3"/>
  </sheets>
  <externalReferences>
    <externalReference r:id="rId4"/>
  </externalReferences>
  <calcPr calcId="0"/>
</workbook>
</file>

<file path=xl/calcChain.xml><?xml version="1.0" encoding="utf-8"?>
<calcChain xmlns="http://schemas.openxmlformats.org/spreadsheetml/2006/main">
  <c r="J4" i="3" l="1"/>
  <c r="J5" i="3"/>
  <c r="J6" i="3"/>
  <c r="J7" i="3"/>
  <c r="J8" i="3"/>
  <c r="J9" i="3"/>
  <c r="J10" i="3"/>
  <c r="J11" i="3"/>
  <c r="J12" i="3"/>
  <c r="J13" i="3"/>
  <c r="J14" i="3"/>
  <c r="J15" i="3"/>
  <c r="J3" i="3"/>
  <c r="I3" i="3"/>
  <c r="I4" i="3"/>
  <c r="I5" i="3"/>
  <c r="I6" i="3"/>
  <c r="I7" i="3"/>
  <c r="I8" i="3"/>
  <c r="I9" i="3"/>
  <c r="I10" i="3"/>
  <c r="I11" i="3"/>
  <c r="I12" i="3"/>
  <c r="I13" i="3"/>
  <c r="I14" i="3"/>
  <c r="I15" i="3"/>
</calcChain>
</file>

<file path=xl/sharedStrings.xml><?xml version="1.0" encoding="utf-8"?>
<sst xmlns="http://schemas.openxmlformats.org/spreadsheetml/2006/main" count="96" uniqueCount="17">
  <si>
    <t>TradeDate</t>
  </si>
  <si>
    <t>expiryDate</t>
  </si>
  <si>
    <t>strike</t>
  </si>
  <si>
    <t>price</t>
  </si>
  <si>
    <t>IV</t>
  </si>
  <si>
    <t>Mean</t>
  </si>
  <si>
    <t>Standard Deviation</t>
  </si>
  <si>
    <t>Sample Variance</t>
  </si>
  <si>
    <t>Kurtosis</t>
  </si>
  <si>
    <t>Skewness</t>
  </si>
  <si>
    <t>Minimum</t>
  </si>
  <si>
    <t>Maximum</t>
  </si>
  <si>
    <t>Count</t>
  </si>
  <si>
    <t>Descriptive Statistics of SPYcall IV</t>
  </si>
  <si>
    <t>SD</t>
  </si>
  <si>
    <t>Descriptive Statistics of SPXput IV</t>
  </si>
  <si>
    <t>Sample of Tree IV results of selected strikes on 19-06-2020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</si>
</sst>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9" formatCode="0.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theme="1"/>
      <name val="Times New Roman"/>
      <family val="1"/>
    </font>
    <font>
      <b/>
      <sz val="9"/>
      <color rgb="FF202122"/>
      <name val="Arial"/>
      <family val="2"/>
    </font>
    <font>
      <sz val="11"/>
      <color theme="1"/>
      <name val="Times New Roman"/>
      <family val="1"/>
    </font>
    <font>
      <i/>
      <sz val="8"/>
      <color rgb="FF9B9B9B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D6000D"/>
      </left>
      <right/>
      <top style="medium">
        <color rgb="FFD6000D"/>
      </top>
      <bottom/>
      <diagonal/>
    </border>
    <border>
      <left/>
      <right/>
      <top style="medium">
        <color rgb="FFD6000D"/>
      </top>
      <bottom/>
      <diagonal/>
    </border>
    <border>
      <left/>
      <right/>
      <top/>
      <bottom style="medium">
        <color rgb="FFD6000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9" fillId="0" borderId="10" xfId="0" applyFont="1" applyBorder="1"/>
    <xf numFmtId="0" fontId="18" fillId="0" borderId="11" xfId="0" applyFont="1" applyBorder="1" applyAlignment="1">
      <alignment horizontal="center"/>
    </xf>
    <xf numFmtId="164" fontId="0" fillId="0" borderId="0" xfId="0" applyNumberFormat="1"/>
    <xf numFmtId="0" fontId="0" fillId="0" borderId="10" xfId="0" applyBorder="1"/>
    <xf numFmtId="0" fontId="0" fillId="0" borderId="0" xfId="0" applyAlignment="1">
      <alignment horizontal="center"/>
    </xf>
    <xf numFmtId="0" fontId="19" fillId="0" borderId="10" xfId="0" applyFont="1" applyBorder="1" applyAlignment="1">
      <alignment horizontal="left"/>
    </xf>
    <xf numFmtId="0" fontId="20" fillId="0" borderId="0" xfId="0" applyFont="1"/>
    <xf numFmtId="1" fontId="0" fillId="0" borderId="0" xfId="0" applyNumberFormat="1" applyAlignment="1">
      <alignment horizontal="right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0" fontId="22" fillId="0" borderId="14" xfId="0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SPXput IV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SPXputIV!$E$1</c:f>
              <c:strCache>
                <c:ptCount val="1"/>
                <c:pt idx="0">
                  <c:v>IV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SPXputIV!$C$2:$C$112</c:f>
              <c:numCache>
                <c:formatCode>General</c:formatCode>
                <c:ptCount val="111"/>
                <c:pt idx="0">
                  <c:v>800</c:v>
                </c:pt>
                <c:pt idx="1">
                  <c:v>900</c:v>
                </c:pt>
                <c:pt idx="2">
                  <c:v>1000</c:v>
                </c:pt>
                <c:pt idx="3">
                  <c:v>1100</c:v>
                </c:pt>
                <c:pt idx="4">
                  <c:v>1150</c:v>
                </c:pt>
                <c:pt idx="5">
                  <c:v>1200</c:v>
                </c:pt>
                <c:pt idx="6">
                  <c:v>1225</c:v>
                </c:pt>
                <c:pt idx="7">
                  <c:v>1250</c:v>
                </c:pt>
                <c:pt idx="8">
                  <c:v>1275</c:v>
                </c:pt>
                <c:pt idx="9">
                  <c:v>1300</c:v>
                </c:pt>
                <c:pt idx="10">
                  <c:v>1325</c:v>
                </c:pt>
                <c:pt idx="11">
                  <c:v>1350</c:v>
                </c:pt>
                <c:pt idx="12">
                  <c:v>1375</c:v>
                </c:pt>
                <c:pt idx="13">
                  <c:v>1400</c:v>
                </c:pt>
                <c:pt idx="14">
                  <c:v>1425</c:v>
                </c:pt>
                <c:pt idx="15">
                  <c:v>1450</c:v>
                </c:pt>
                <c:pt idx="16">
                  <c:v>1475</c:v>
                </c:pt>
                <c:pt idx="17">
                  <c:v>1500</c:v>
                </c:pt>
                <c:pt idx="18">
                  <c:v>1525</c:v>
                </c:pt>
                <c:pt idx="19">
                  <c:v>1550</c:v>
                </c:pt>
                <c:pt idx="20">
                  <c:v>1575</c:v>
                </c:pt>
                <c:pt idx="21">
                  <c:v>1600</c:v>
                </c:pt>
                <c:pt idx="22">
                  <c:v>1625</c:v>
                </c:pt>
                <c:pt idx="23">
                  <c:v>1650</c:v>
                </c:pt>
                <c:pt idx="24">
                  <c:v>1675</c:v>
                </c:pt>
                <c:pt idx="25">
                  <c:v>1700</c:v>
                </c:pt>
                <c:pt idx="26">
                  <c:v>1725</c:v>
                </c:pt>
                <c:pt idx="27">
                  <c:v>1750</c:v>
                </c:pt>
                <c:pt idx="28">
                  <c:v>1775</c:v>
                </c:pt>
                <c:pt idx="29">
                  <c:v>1800</c:v>
                </c:pt>
                <c:pt idx="30">
                  <c:v>1825</c:v>
                </c:pt>
                <c:pt idx="31">
                  <c:v>1850</c:v>
                </c:pt>
                <c:pt idx="32">
                  <c:v>1875</c:v>
                </c:pt>
                <c:pt idx="33">
                  <c:v>1900</c:v>
                </c:pt>
                <c:pt idx="34">
                  <c:v>1925</c:v>
                </c:pt>
                <c:pt idx="35">
                  <c:v>1950</c:v>
                </c:pt>
                <c:pt idx="36">
                  <c:v>1975</c:v>
                </c:pt>
                <c:pt idx="37">
                  <c:v>2000</c:v>
                </c:pt>
                <c:pt idx="38">
                  <c:v>2025</c:v>
                </c:pt>
                <c:pt idx="39">
                  <c:v>2050</c:v>
                </c:pt>
                <c:pt idx="40">
                  <c:v>2075</c:v>
                </c:pt>
                <c:pt idx="41">
                  <c:v>2100</c:v>
                </c:pt>
                <c:pt idx="42">
                  <c:v>2125</c:v>
                </c:pt>
                <c:pt idx="43">
                  <c:v>2150</c:v>
                </c:pt>
                <c:pt idx="44">
                  <c:v>2175</c:v>
                </c:pt>
                <c:pt idx="45">
                  <c:v>2200</c:v>
                </c:pt>
                <c:pt idx="46">
                  <c:v>2225</c:v>
                </c:pt>
                <c:pt idx="47">
                  <c:v>2250</c:v>
                </c:pt>
                <c:pt idx="48">
                  <c:v>2275</c:v>
                </c:pt>
                <c:pt idx="49">
                  <c:v>2300</c:v>
                </c:pt>
                <c:pt idx="50">
                  <c:v>2325</c:v>
                </c:pt>
                <c:pt idx="51">
                  <c:v>2350</c:v>
                </c:pt>
                <c:pt idx="52">
                  <c:v>2375</c:v>
                </c:pt>
                <c:pt idx="53">
                  <c:v>2400</c:v>
                </c:pt>
                <c:pt idx="54">
                  <c:v>2425</c:v>
                </c:pt>
                <c:pt idx="55">
                  <c:v>2450</c:v>
                </c:pt>
                <c:pt idx="56">
                  <c:v>2475</c:v>
                </c:pt>
                <c:pt idx="57">
                  <c:v>2500</c:v>
                </c:pt>
                <c:pt idx="58">
                  <c:v>2525</c:v>
                </c:pt>
                <c:pt idx="59">
                  <c:v>2550</c:v>
                </c:pt>
                <c:pt idx="60">
                  <c:v>2575</c:v>
                </c:pt>
                <c:pt idx="61">
                  <c:v>2600</c:v>
                </c:pt>
                <c:pt idx="62">
                  <c:v>2625</c:v>
                </c:pt>
                <c:pt idx="63">
                  <c:v>2650</c:v>
                </c:pt>
                <c:pt idx="64">
                  <c:v>2675</c:v>
                </c:pt>
                <c:pt idx="65">
                  <c:v>2700</c:v>
                </c:pt>
                <c:pt idx="66">
                  <c:v>2725</c:v>
                </c:pt>
                <c:pt idx="67">
                  <c:v>2750</c:v>
                </c:pt>
                <c:pt idx="68">
                  <c:v>2775</c:v>
                </c:pt>
                <c:pt idx="69">
                  <c:v>2800</c:v>
                </c:pt>
                <c:pt idx="70">
                  <c:v>2825</c:v>
                </c:pt>
                <c:pt idx="71">
                  <c:v>2850</c:v>
                </c:pt>
                <c:pt idx="72">
                  <c:v>2875</c:v>
                </c:pt>
                <c:pt idx="73">
                  <c:v>2900</c:v>
                </c:pt>
                <c:pt idx="74">
                  <c:v>2925</c:v>
                </c:pt>
                <c:pt idx="75">
                  <c:v>2950</c:v>
                </c:pt>
                <c:pt idx="76">
                  <c:v>2975</c:v>
                </c:pt>
                <c:pt idx="77">
                  <c:v>3000</c:v>
                </c:pt>
                <c:pt idx="78">
                  <c:v>3025</c:v>
                </c:pt>
                <c:pt idx="79">
                  <c:v>3050</c:v>
                </c:pt>
                <c:pt idx="80">
                  <c:v>3075</c:v>
                </c:pt>
                <c:pt idx="81">
                  <c:v>3100</c:v>
                </c:pt>
                <c:pt idx="82">
                  <c:v>3125</c:v>
                </c:pt>
                <c:pt idx="83">
                  <c:v>3150</c:v>
                </c:pt>
                <c:pt idx="84">
                  <c:v>3175</c:v>
                </c:pt>
                <c:pt idx="85">
                  <c:v>3200</c:v>
                </c:pt>
                <c:pt idx="86">
                  <c:v>3225</c:v>
                </c:pt>
                <c:pt idx="87">
                  <c:v>3250</c:v>
                </c:pt>
                <c:pt idx="88">
                  <c:v>3275</c:v>
                </c:pt>
                <c:pt idx="89">
                  <c:v>3300</c:v>
                </c:pt>
                <c:pt idx="90">
                  <c:v>3325</c:v>
                </c:pt>
                <c:pt idx="91">
                  <c:v>3350</c:v>
                </c:pt>
                <c:pt idx="92">
                  <c:v>3375</c:v>
                </c:pt>
                <c:pt idx="93">
                  <c:v>3400</c:v>
                </c:pt>
                <c:pt idx="94">
                  <c:v>3425</c:v>
                </c:pt>
                <c:pt idx="95">
                  <c:v>3450</c:v>
                </c:pt>
                <c:pt idx="96">
                  <c:v>3475</c:v>
                </c:pt>
                <c:pt idx="97">
                  <c:v>3500</c:v>
                </c:pt>
                <c:pt idx="98">
                  <c:v>3525</c:v>
                </c:pt>
                <c:pt idx="99">
                  <c:v>3550</c:v>
                </c:pt>
                <c:pt idx="100">
                  <c:v>3575</c:v>
                </c:pt>
                <c:pt idx="101">
                  <c:v>3600</c:v>
                </c:pt>
                <c:pt idx="102">
                  <c:v>3625</c:v>
                </c:pt>
                <c:pt idx="103">
                  <c:v>3650</c:v>
                </c:pt>
                <c:pt idx="104">
                  <c:v>3700</c:v>
                </c:pt>
                <c:pt idx="105">
                  <c:v>3750</c:v>
                </c:pt>
                <c:pt idx="106">
                  <c:v>3800</c:v>
                </c:pt>
                <c:pt idx="107">
                  <c:v>3900</c:v>
                </c:pt>
                <c:pt idx="108">
                  <c:v>4000</c:v>
                </c:pt>
                <c:pt idx="109">
                  <c:v>4100</c:v>
                </c:pt>
                <c:pt idx="110">
                  <c:v>4200</c:v>
                </c:pt>
              </c:numCache>
            </c:numRef>
          </c:cat>
          <c:val>
            <c:numRef>
              <c:f>SPXputIV!$E$2:$E$112</c:f>
              <c:numCache>
                <c:formatCode>General</c:formatCode>
                <c:ptCount val="111"/>
                <c:pt idx="0">
                  <c:v>1.76744283275783</c:v>
                </c:pt>
                <c:pt idx="1">
                  <c:v>1.6225391919773899</c:v>
                </c:pt>
                <c:pt idx="2">
                  <c:v>1.4923503236161</c:v>
                </c:pt>
                <c:pt idx="3">
                  <c:v>1.37425548065639</c:v>
                </c:pt>
                <c:pt idx="4">
                  <c:v>1.3188023674520899</c:v>
                </c:pt>
                <c:pt idx="5">
                  <c:v>1.26579247894606</c:v>
                </c:pt>
                <c:pt idx="6">
                  <c:v>1.24012507405568</c:v>
                </c:pt>
                <c:pt idx="7">
                  <c:v>1.2148720090973799</c:v>
                </c:pt>
                <c:pt idx="8">
                  <c:v>1.1901001281934001</c:v>
                </c:pt>
                <c:pt idx="9">
                  <c:v>1.1658776856556301</c:v>
                </c:pt>
                <c:pt idx="10">
                  <c:v>1.1421022162729999</c:v>
                </c:pt>
                <c:pt idx="11">
                  <c:v>1.11867327574058</c:v>
                </c:pt>
                <c:pt idx="12">
                  <c:v>1.09581918516819</c:v>
                </c:pt>
                <c:pt idx="13">
                  <c:v>1.07320654986819</c:v>
                </c:pt>
                <c:pt idx="14">
                  <c:v>1.0511381942623701</c:v>
                </c:pt>
                <c:pt idx="15">
                  <c:v>1.02928835058101</c:v>
                </c:pt>
                <c:pt idx="16">
                  <c:v>1.00787400898636</c:v>
                </c:pt>
                <c:pt idx="17">
                  <c:v>0.98681028846693397</c:v>
                </c:pt>
                <c:pt idx="18">
                  <c:v>0.96616182279002505</c:v>
                </c:pt>
                <c:pt idx="19">
                  <c:v>0.94569093819167904</c:v>
                </c:pt>
                <c:pt idx="20">
                  <c:v>0.92568341625154105</c:v>
                </c:pt>
                <c:pt idx="21">
                  <c:v>0.90598252023099801</c:v>
                </c:pt>
                <c:pt idx="22">
                  <c:v>0.88657907996416896</c:v>
                </c:pt>
                <c:pt idx="23">
                  <c:v>0.86732159514118901</c:v>
                </c:pt>
                <c:pt idx="24">
                  <c:v>0.84848853249632605</c:v>
                </c:pt>
                <c:pt idx="25">
                  <c:v>0.82992452605706102</c:v>
                </c:pt>
                <c:pt idx="26">
                  <c:v>0.811628354707574</c:v>
                </c:pt>
                <c:pt idx="27">
                  <c:v>0.79358774704033497</c:v>
                </c:pt>
                <c:pt idx="28">
                  <c:v>0.77579696465303505</c:v>
                </c:pt>
                <c:pt idx="29">
                  <c:v>0.75824923001836098</c:v>
                </c:pt>
                <c:pt idx="30">
                  <c:v>0.74093802611194903</c:v>
                </c:pt>
                <c:pt idx="31">
                  <c:v>0.72392391879680595</c:v>
                </c:pt>
                <c:pt idx="32">
                  <c:v>0.70713293799772203</c:v>
                </c:pt>
                <c:pt idx="33">
                  <c:v>0.69062497338180295</c:v>
                </c:pt>
                <c:pt idx="34">
                  <c:v>0.67433073495926299</c:v>
                </c:pt>
                <c:pt idx="35">
                  <c:v>0.65823844993534897</c:v>
                </c:pt>
                <c:pt idx="36">
                  <c:v>0.64241271671836297</c:v>
                </c:pt>
                <c:pt idx="37">
                  <c:v>0.62678188107909105</c:v>
                </c:pt>
                <c:pt idx="38">
                  <c:v>0.61140277723206304</c:v>
                </c:pt>
                <c:pt idx="39">
                  <c:v>0.59621110033291103</c:v>
                </c:pt>
                <c:pt idx="40">
                  <c:v>0.58132342005532001</c:v>
                </c:pt>
                <c:pt idx="41">
                  <c:v>0.566609434606829</c:v>
                </c:pt>
                <c:pt idx="42">
                  <c:v>0.55206550968272095</c:v>
                </c:pt>
                <c:pt idx="43">
                  <c:v>0.53781051366133503</c:v>
                </c:pt>
                <c:pt idx="44">
                  <c:v>0.52383714596572395</c:v>
                </c:pt>
                <c:pt idx="45">
                  <c:v>0.50995826287326596</c:v>
                </c:pt>
                <c:pt idx="46">
                  <c:v>0.49629130322366</c:v>
                </c:pt>
                <c:pt idx="47">
                  <c:v>0.48288692397523097</c:v>
                </c:pt>
                <c:pt idx="48">
                  <c:v>0.46962878762424698</c:v>
                </c:pt>
                <c:pt idx="49">
                  <c:v>0.45662606135448802</c:v>
                </c:pt>
                <c:pt idx="50">
                  <c:v>0.44387253599334398</c:v>
                </c:pt>
                <c:pt idx="51">
                  <c:v>0.43124847524516502</c:v>
                </c:pt>
                <c:pt idx="52">
                  <c:v>0.41897579834404702</c:v>
                </c:pt>
                <c:pt idx="53">
                  <c:v>0.40693346831438498</c:v>
                </c:pt>
                <c:pt idx="54">
                  <c:v>0.39511867346698099</c:v>
                </c:pt>
                <c:pt idx="55">
                  <c:v>0.38351835537341</c:v>
                </c:pt>
                <c:pt idx="56">
                  <c:v>0.37212938549904301</c:v>
                </c:pt>
                <c:pt idx="57">
                  <c:v>0.36105137292447598</c:v>
                </c:pt>
                <c:pt idx="58">
                  <c:v>0.35016869321726402</c:v>
                </c:pt>
                <c:pt idx="59">
                  <c:v>0.33937006371217099</c:v>
                </c:pt>
                <c:pt idx="60">
                  <c:v>0.32906298308323101</c:v>
                </c:pt>
                <c:pt idx="61">
                  <c:v>0.31892443575685703</c:v>
                </c:pt>
                <c:pt idx="62">
                  <c:v>0.309043104181215</c:v>
                </c:pt>
                <c:pt idx="63">
                  <c:v>0.29940653358302799</c:v>
                </c:pt>
                <c:pt idx="64">
                  <c:v>0.29010011132015001</c:v>
                </c:pt>
                <c:pt idx="65">
                  <c:v>0.280915481721984</c:v>
                </c:pt>
                <c:pt idx="66">
                  <c:v>0.271935989368422</c:v>
                </c:pt>
                <c:pt idx="67">
                  <c:v>0.26332699333030302</c:v>
                </c:pt>
                <c:pt idx="68">
                  <c:v>0.25488642650869298</c:v>
                </c:pt>
                <c:pt idx="69">
                  <c:v>0.24668512790184099</c:v>
                </c:pt>
                <c:pt idx="70">
                  <c:v>0.238785834372922</c:v>
                </c:pt>
                <c:pt idx="71">
                  <c:v>0.230996764064126</c:v>
                </c:pt>
                <c:pt idx="72">
                  <c:v>0.22346286551747799</c:v>
                </c:pt>
                <c:pt idx="73">
                  <c:v>0.21615826338840499</c:v>
                </c:pt>
                <c:pt idx="74">
                  <c:v>0.20912520179720401</c:v>
                </c:pt>
                <c:pt idx="75">
                  <c:v>0.20218427527668201</c:v>
                </c:pt>
                <c:pt idx="76">
                  <c:v>0.195385782456899</c:v>
                </c:pt>
                <c:pt idx="77">
                  <c:v>0.18883872745125199</c:v>
                </c:pt>
                <c:pt idx="78">
                  <c:v>0.182370593764376</c:v>
                </c:pt>
                <c:pt idx="79">
                  <c:v>0.176152800695872</c:v>
                </c:pt>
                <c:pt idx="80">
                  <c:v>0.170067938761609</c:v>
                </c:pt>
                <c:pt idx="81">
                  <c:v>0.164149290084208</c:v>
                </c:pt>
                <c:pt idx="82">
                  <c:v>0.158410565471482</c:v>
                </c:pt>
                <c:pt idx="83">
                  <c:v>0.15280214204109799</c:v>
                </c:pt>
                <c:pt idx="84">
                  <c:v>0.147393767683313</c:v>
                </c:pt>
                <c:pt idx="85">
                  <c:v>0.14212794156856801</c:v>
                </c:pt>
                <c:pt idx="86">
                  <c:v>0.13706248213166899</c:v>
                </c:pt>
                <c:pt idx="87">
                  <c:v>0.13230609037132701</c:v>
                </c:pt>
                <c:pt idx="88">
                  <c:v>0.127788363353845</c:v>
                </c:pt>
                <c:pt idx="89">
                  <c:v>0.12373074032131801</c:v>
                </c:pt>
                <c:pt idx="90">
                  <c:v>0.120070661091291</c:v>
                </c:pt>
                <c:pt idx="91">
                  <c:v>0.117050637776053</c:v>
                </c:pt>
                <c:pt idx="92">
                  <c:v>0.11465038995914301</c:v>
                </c:pt>
                <c:pt idx="93">
                  <c:v>0.113068422230292</c:v>
                </c:pt>
                <c:pt idx="94">
                  <c:v>0.112307471404299</c:v>
                </c:pt>
                <c:pt idx="95">
                  <c:v>0.112412243567262</c:v>
                </c:pt>
                <c:pt idx="96">
                  <c:v>0.113821939311297</c:v>
                </c:pt>
                <c:pt idx="97">
                  <c:v>0.116041921478987</c:v>
                </c:pt>
                <c:pt idx="98">
                  <c:v>0.119876836292803</c:v>
                </c:pt>
                <c:pt idx="99">
                  <c:v>0.124222671583504</c:v>
                </c:pt>
                <c:pt idx="100">
                  <c:v>0.1293530564581</c:v>
                </c:pt>
                <c:pt idx="101">
                  <c:v>0.13554885827506799</c:v>
                </c:pt>
                <c:pt idx="102">
                  <c:v>0.14265258659619701</c:v>
                </c:pt>
                <c:pt idx="103">
                  <c:v>0.150102600765747</c:v>
                </c:pt>
                <c:pt idx="104">
                  <c:v>0.164242765302928</c:v>
                </c:pt>
                <c:pt idx="105">
                  <c:v>0.180618726486209</c:v>
                </c:pt>
                <c:pt idx="106">
                  <c:v>0.195144286737088</c:v>
                </c:pt>
                <c:pt idx="107">
                  <c:v>0.22706335006643799</c:v>
                </c:pt>
                <c:pt idx="108">
                  <c:v>0.25887633576477098</c:v>
                </c:pt>
                <c:pt idx="109">
                  <c:v>0.29015972245829602</c:v>
                </c:pt>
                <c:pt idx="110">
                  <c:v>0.32051139206683799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F9-4CF9-9877-3BD3E9EF8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9307295"/>
        <c:axId val="2009306047"/>
      </c:lineChart>
      <c:dateAx>
        <c:axId val="2009307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Strike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306047"/>
        <c:crosses val="autoZero"/>
        <c:auto val="0"/>
        <c:lblOffset val="100"/>
        <c:baseTimeUnit val="days"/>
        <c:majorUnit val="500"/>
        <c:majorTimeUnit val="days"/>
        <c:minorUnit val="100"/>
      </c:dateAx>
      <c:valAx>
        <c:axId val="200930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307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274320</xdr:colOff>
      <xdr:row>16</xdr:row>
      <xdr:rowOff>172720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AEB59A-0BC7-4F0F-9055-334B85D0F6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Q6Table%20SPXcall%20I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XcallIV"/>
      <sheetName val="Sheet1"/>
      <sheetName val="Sheet3"/>
    </sheetNames>
    <sheetDataSet>
      <sheetData sheetId="0">
        <row r="1">
          <cell r="F1" t="str">
            <v>IV</v>
          </cell>
        </row>
        <row r="2">
          <cell r="D2">
            <v>800</v>
          </cell>
          <cell r="F2">
            <v>1.7672647933647501</v>
          </cell>
        </row>
        <row r="3">
          <cell r="D3">
            <v>900</v>
          </cell>
          <cell r="F3">
            <v>1.62194271601744</v>
          </cell>
        </row>
        <row r="4">
          <cell r="D4">
            <v>1000</v>
          </cell>
          <cell r="F4">
            <v>1.49321832427711</v>
          </cell>
        </row>
        <row r="5">
          <cell r="D5">
            <v>1100</v>
          </cell>
          <cell r="F5">
            <v>1.3740572465237999</v>
          </cell>
        </row>
        <row r="6">
          <cell r="D6">
            <v>1150</v>
          </cell>
          <cell r="F6">
            <v>1.3182460987312401</v>
          </cell>
        </row>
        <row r="7">
          <cell r="D7">
            <v>1200</v>
          </cell>
          <cell r="F7">
            <v>1.2657603265894299</v>
          </cell>
        </row>
        <row r="8">
          <cell r="D8">
            <v>1225</v>
          </cell>
          <cell r="F8">
            <v>1.2396207720013901</v>
          </cell>
        </row>
        <row r="9">
          <cell r="D9">
            <v>1250</v>
          </cell>
          <cell r="F9">
            <v>1.2150008090073501</v>
          </cell>
        </row>
        <row r="10">
          <cell r="D10">
            <v>1275</v>
          </cell>
          <cell r="F10">
            <v>1.19018187450266</v>
          </cell>
        </row>
        <row r="11">
          <cell r="D11">
            <v>1300</v>
          </cell>
          <cell r="F11">
            <v>1.1655023914295399</v>
          </cell>
        </row>
        <row r="12">
          <cell r="D12">
            <v>1325</v>
          </cell>
          <cell r="F12">
            <v>1.1422555479222101</v>
          </cell>
        </row>
        <row r="13">
          <cell r="D13">
            <v>1350</v>
          </cell>
          <cell r="F13">
            <v>1.1187809048634301</v>
          </cell>
        </row>
        <row r="14">
          <cell r="D14">
            <v>1375</v>
          </cell>
          <cell r="F14">
            <v>1.09651778348361</v>
          </cell>
        </row>
        <row r="15">
          <cell r="D15">
            <v>1400</v>
          </cell>
          <cell r="F15">
            <v>1.07275358812982</v>
          </cell>
        </row>
        <row r="16">
          <cell r="D16">
            <v>1425</v>
          </cell>
          <cell r="F16">
            <v>1.0511144926895</v>
          </cell>
        </row>
        <row r="17">
          <cell r="D17">
            <v>1450</v>
          </cell>
          <cell r="F17">
            <v>1.0289144527766501</v>
          </cell>
        </row>
        <row r="18">
          <cell r="D18">
            <v>1475</v>
          </cell>
          <cell r="F18">
            <v>1.00738575449136</v>
          </cell>
        </row>
        <row r="19">
          <cell r="D19">
            <v>1500</v>
          </cell>
          <cell r="F19">
            <v>0.98681418922613495</v>
          </cell>
        </row>
        <row r="20">
          <cell r="D20">
            <v>1525</v>
          </cell>
          <cell r="F20">
            <v>0.96597509895910905</v>
          </cell>
        </row>
        <row r="21">
          <cell r="D21">
            <v>1550</v>
          </cell>
          <cell r="F21">
            <v>0.94576176001037204</v>
          </cell>
        </row>
        <row r="22">
          <cell r="D22">
            <v>1575</v>
          </cell>
          <cell r="F22">
            <v>0.92644717960602596</v>
          </cell>
        </row>
        <row r="23">
          <cell r="D23">
            <v>1600</v>
          </cell>
          <cell r="F23">
            <v>0.90597232715657205</v>
          </cell>
        </row>
        <row r="24">
          <cell r="D24">
            <v>1625</v>
          </cell>
          <cell r="F24">
            <v>0.887105909381529</v>
          </cell>
        </row>
        <row r="25">
          <cell r="D25">
            <v>1650</v>
          </cell>
          <cell r="F25">
            <v>0.86737618198467703</v>
          </cell>
        </row>
        <row r="26">
          <cell r="D26">
            <v>1675</v>
          </cell>
          <cell r="F26">
            <v>0.84836217652066603</v>
          </cell>
        </row>
        <row r="27">
          <cell r="D27">
            <v>1700</v>
          </cell>
          <cell r="F27">
            <v>0.82990122489179996</v>
          </cell>
        </row>
        <row r="28">
          <cell r="D28">
            <v>1725</v>
          </cell>
          <cell r="F28">
            <v>0.811149202405266</v>
          </cell>
        </row>
        <row r="29">
          <cell r="D29">
            <v>1750</v>
          </cell>
          <cell r="F29">
            <v>0.79348916726080398</v>
          </cell>
        </row>
        <row r="30">
          <cell r="D30">
            <v>1775</v>
          </cell>
          <cell r="F30">
            <v>0.77579863067181398</v>
          </cell>
        </row>
        <row r="31">
          <cell r="D31">
            <v>1800</v>
          </cell>
          <cell r="F31">
            <v>0.75889254209983503</v>
          </cell>
        </row>
        <row r="32">
          <cell r="D32">
            <v>1825</v>
          </cell>
          <cell r="F32">
            <v>0.74153932274123402</v>
          </cell>
        </row>
        <row r="33">
          <cell r="D33">
            <v>1850</v>
          </cell>
          <cell r="F33">
            <v>0.72388250947102395</v>
          </cell>
        </row>
        <row r="34">
          <cell r="D34">
            <v>1875</v>
          </cell>
          <cell r="F34">
            <v>0.70712183486340296</v>
          </cell>
        </row>
        <row r="35">
          <cell r="D35">
            <v>1900</v>
          </cell>
          <cell r="F35">
            <v>0.69057790348021997</v>
          </cell>
        </row>
        <row r="36">
          <cell r="D36">
            <v>1925</v>
          </cell>
          <cell r="F36">
            <v>0.67424825201977401</v>
          </cell>
        </row>
        <row r="37">
          <cell r="D37">
            <v>1950</v>
          </cell>
          <cell r="F37">
            <v>0.65812110380437305</v>
          </cell>
        </row>
        <row r="38">
          <cell r="D38">
            <v>1975</v>
          </cell>
          <cell r="F38">
            <v>0.64193945542247199</v>
          </cell>
        </row>
        <row r="39">
          <cell r="D39">
            <v>2000</v>
          </cell>
          <cell r="F39">
            <v>0.62672401504542496</v>
          </cell>
        </row>
        <row r="40">
          <cell r="D40">
            <v>2025</v>
          </cell>
          <cell r="F40">
            <v>0.61143726855758096</v>
          </cell>
        </row>
        <row r="41">
          <cell r="D41">
            <v>2050</v>
          </cell>
          <cell r="F41">
            <v>0.59683839886915402</v>
          </cell>
        </row>
        <row r="42">
          <cell r="D42">
            <v>2075</v>
          </cell>
          <cell r="F42">
            <v>0.58091499534109703</v>
          </cell>
        </row>
        <row r="43">
          <cell r="D43">
            <v>2100</v>
          </cell>
          <cell r="F43">
            <v>0.56666515152924801</v>
          </cell>
        </row>
        <row r="44">
          <cell r="D44">
            <v>2125</v>
          </cell>
          <cell r="F44">
            <v>0.552087179209517</v>
          </cell>
        </row>
        <row r="45">
          <cell r="D45">
            <v>2150</v>
          </cell>
          <cell r="F45">
            <v>0.53840688289056604</v>
          </cell>
        </row>
        <row r="46">
          <cell r="D46">
            <v>2175</v>
          </cell>
          <cell r="F46">
            <v>0.52342999416235203</v>
          </cell>
        </row>
        <row r="47">
          <cell r="D47">
            <v>2200</v>
          </cell>
          <cell r="F47">
            <v>0.50934175998437003</v>
          </cell>
        </row>
        <row r="48">
          <cell r="D48">
            <v>2225</v>
          </cell>
          <cell r="F48">
            <v>0.49600393417046701</v>
          </cell>
        </row>
        <row r="49">
          <cell r="D49">
            <v>2250</v>
          </cell>
          <cell r="F49">
            <v>0.48256973632592698</v>
          </cell>
        </row>
        <row r="50">
          <cell r="D50">
            <v>2275</v>
          </cell>
          <cell r="F50">
            <v>0.467995218773199</v>
          </cell>
        </row>
        <row r="51">
          <cell r="D51">
            <v>2300</v>
          </cell>
          <cell r="F51">
            <v>0.45590343563076902</v>
          </cell>
        </row>
        <row r="52">
          <cell r="D52">
            <v>2325</v>
          </cell>
          <cell r="F52">
            <v>0.44220534877212497</v>
          </cell>
        </row>
        <row r="53">
          <cell r="D53">
            <v>2350</v>
          </cell>
          <cell r="F53">
            <v>0.42933734058735201</v>
          </cell>
        </row>
        <row r="54">
          <cell r="D54">
            <v>2375</v>
          </cell>
          <cell r="F54">
            <v>0.418293655439955</v>
          </cell>
        </row>
        <row r="55">
          <cell r="D55">
            <v>2400</v>
          </cell>
          <cell r="F55">
            <v>0.40622787687476503</v>
          </cell>
        </row>
        <row r="56">
          <cell r="D56">
            <v>2425</v>
          </cell>
          <cell r="F56">
            <v>0.39439050389886399</v>
          </cell>
        </row>
        <row r="57">
          <cell r="D57">
            <v>2450</v>
          </cell>
          <cell r="F57">
            <v>0.38396573758913799</v>
          </cell>
        </row>
        <row r="58">
          <cell r="D58">
            <v>2475</v>
          </cell>
          <cell r="F58">
            <v>0.37243470079192498</v>
          </cell>
        </row>
        <row r="59">
          <cell r="D59">
            <v>2500</v>
          </cell>
          <cell r="F59">
            <v>0.36164189771702998</v>
          </cell>
        </row>
        <row r="60">
          <cell r="D60">
            <v>2525</v>
          </cell>
          <cell r="F60">
            <v>0.350304162747196</v>
          </cell>
        </row>
        <row r="61">
          <cell r="D61">
            <v>2550</v>
          </cell>
          <cell r="F61">
            <v>0.339785237831354</v>
          </cell>
        </row>
        <row r="62">
          <cell r="D62">
            <v>2575</v>
          </cell>
          <cell r="F62">
            <v>0.329240744899441</v>
          </cell>
        </row>
        <row r="63">
          <cell r="D63">
            <v>2600</v>
          </cell>
          <cell r="F63">
            <v>0.31917228490509802</v>
          </cell>
        </row>
        <row r="64">
          <cell r="D64">
            <v>2625</v>
          </cell>
          <cell r="F64">
            <v>0.309654391693303</v>
          </cell>
        </row>
        <row r="65">
          <cell r="D65">
            <v>2650</v>
          </cell>
          <cell r="F65">
            <v>0.29988405300972698</v>
          </cell>
        </row>
        <row r="66">
          <cell r="D66">
            <v>2675</v>
          </cell>
          <cell r="F66">
            <v>0.29035250784841499</v>
          </cell>
        </row>
        <row r="67">
          <cell r="D67">
            <v>2700</v>
          </cell>
          <cell r="F67">
            <v>0.28132452000490898</v>
          </cell>
        </row>
        <row r="68">
          <cell r="D68">
            <v>2725</v>
          </cell>
          <cell r="F68">
            <v>0.27222040835734002</v>
          </cell>
        </row>
        <row r="69">
          <cell r="D69">
            <v>2750</v>
          </cell>
          <cell r="F69">
            <v>0.263670782185976</v>
          </cell>
        </row>
        <row r="70">
          <cell r="D70">
            <v>2775</v>
          </cell>
          <cell r="F70">
            <v>0.25528677005578099</v>
          </cell>
        </row>
        <row r="71">
          <cell r="D71">
            <v>2800</v>
          </cell>
          <cell r="F71">
            <v>0.24713909999316699</v>
          </cell>
        </row>
        <row r="72">
          <cell r="D72">
            <v>2825</v>
          </cell>
          <cell r="F72">
            <v>0.23912244073118299</v>
          </cell>
        </row>
        <row r="73">
          <cell r="D73">
            <v>2850</v>
          </cell>
          <cell r="F73">
            <v>0.23146714257769299</v>
          </cell>
        </row>
        <row r="74">
          <cell r="D74">
            <v>2875</v>
          </cell>
          <cell r="F74">
            <v>0.22381985584161801</v>
          </cell>
        </row>
        <row r="75">
          <cell r="D75">
            <v>2900</v>
          </cell>
          <cell r="F75">
            <v>0.216485088045998</v>
          </cell>
        </row>
        <row r="76">
          <cell r="D76">
            <v>2925</v>
          </cell>
          <cell r="F76">
            <v>0.20927064961349801</v>
          </cell>
        </row>
        <row r="77">
          <cell r="D77">
            <v>2950</v>
          </cell>
          <cell r="F77">
            <v>0.20230570206085299</v>
          </cell>
        </row>
        <row r="78">
          <cell r="D78">
            <v>2975</v>
          </cell>
          <cell r="F78">
            <v>0.19555661497348401</v>
          </cell>
        </row>
        <row r="79">
          <cell r="D79">
            <v>3000</v>
          </cell>
          <cell r="F79">
            <v>0.18898589807706201</v>
          </cell>
        </row>
        <row r="80">
          <cell r="D80">
            <v>3025</v>
          </cell>
          <cell r="F80">
            <v>0.18270125770864501</v>
          </cell>
        </row>
        <row r="81">
          <cell r="D81">
            <v>3050</v>
          </cell>
          <cell r="F81">
            <v>0.17632290977725901</v>
          </cell>
        </row>
        <row r="82">
          <cell r="D82">
            <v>3075</v>
          </cell>
          <cell r="F82">
            <v>0.17028130791094501</v>
          </cell>
        </row>
        <row r="83">
          <cell r="D83">
            <v>3100</v>
          </cell>
          <cell r="F83">
            <v>0.16434012800581699</v>
          </cell>
        </row>
        <row r="84">
          <cell r="D84">
            <v>3125</v>
          </cell>
          <cell r="F84">
            <v>0.15858001731457</v>
          </cell>
        </row>
        <row r="85">
          <cell r="D85">
            <v>3150</v>
          </cell>
          <cell r="F85">
            <v>0.15301235062587501</v>
          </cell>
        </row>
        <row r="86">
          <cell r="D86">
            <v>3175</v>
          </cell>
          <cell r="F86">
            <v>0.14752369911093299</v>
          </cell>
        </row>
        <row r="87">
          <cell r="D87">
            <v>3200</v>
          </cell>
          <cell r="F87">
            <v>0.142239597036105</v>
          </cell>
        </row>
        <row r="88">
          <cell r="D88">
            <v>3225</v>
          </cell>
          <cell r="F88">
            <v>0.13715672843006299</v>
          </cell>
        </row>
        <row r="89">
          <cell r="D89">
            <v>3250</v>
          </cell>
          <cell r="F89">
            <v>0.132383673901978</v>
          </cell>
        </row>
        <row r="90">
          <cell r="D90">
            <v>3275</v>
          </cell>
          <cell r="F90">
            <v>0.127964467001695</v>
          </cell>
        </row>
        <row r="91">
          <cell r="D91">
            <v>3300</v>
          </cell>
          <cell r="F91">
            <v>0.12383397560666699</v>
          </cell>
        </row>
        <row r="92">
          <cell r="D92">
            <v>3325</v>
          </cell>
          <cell r="F92">
            <v>0.120216679040778</v>
          </cell>
        </row>
        <row r="93">
          <cell r="D93">
            <v>3350</v>
          </cell>
          <cell r="F93">
            <v>0.117182851606233</v>
          </cell>
        </row>
        <row r="94">
          <cell r="D94">
            <v>3375</v>
          </cell>
          <cell r="F94">
            <v>0.11476931729616401</v>
          </cell>
        </row>
        <row r="95">
          <cell r="D95">
            <v>3400</v>
          </cell>
          <cell r="F95">
            <v>0.113174193605665</v>
          </cell>
        </row>
        <row r="96">
          <cell r="D96">
            <v>3425</v>
          </cell>
          <cell r="F96">
            <v>0.112464350911789</v>
          </cell>
        </row>
        <row r="97">
          <cell r="D97">
            <v>3450</v>
          </cell>
          <cell r="F97">
            <v>0.11269294644092701</v>
          </cell>
        </row>
        <row r="98">
          <cell r="D98">
            <v>3475</v>
          </cell>
          <cell r="F98">
            <v>0.114026091599811</v>
          </cell>
        </row>
        <row r="99">
          <cell r="D99">
            <v>3500</v>
          </cell>
          <cell r="F99">
            <v>0.116458613391309</v>
          </cell>
        </row>
        <row r="100">
          <cell r="D100">
            <v>3525</v>
          </cell>
          <cell r="F100">
            <v>0.119980285001981</v>
          </cell>
        </row>
        <row r="101">
          <cell r="D101">
            <v>3550</v>
          </cell>
          <cell r="F101">
            <v>0.124469199678158</v>
          </cell>
        </row>
        <row r="102">
          <cell r="D102">
            <v>3575</v>
          </cell>
          <cell r="F102">
            <v>0.12966809227824699</v>
          </cell>
        </row>
        <row r="103">
          <cell r="D103">
            <v>3600</v>
          </cell>
          <cell r="F103">
            <v>0.13567773439900199</v>
          </cell>
        </row>
        <row r="104">
          <cell r="D104">
            <v>3625</v>
          </cell>
          <cell r="F104">
            <v>0.142152902451744</v>
          </cell>
        </row>
        <row r="105">
          <cell r="D105">
            <v>3650</v>
          </cell>
          <cell r="F105">
            <v>0.14904554362036199</v>
          </cell>
        </row>
        <row r="106">
          <cell r="D106">
            <v>3700</v>
          </cell>
          <cell r="F106">
            <v>0.16365260093765399</v>
          </cell>
        </row>
        <row r="107">
          <cell r="D107">
            <v>3750</v>
          </cell>
          <cell r="F107">
            <v>0.17912054408936401</v>
          </cell>
        </row>
        <row r="108">
          <cell r="D108">
            <v>3800</v>
          </cell>
          <cell r="F108">
            <v>0.194810360256788</v>
          </cell>
        </row>
        <row r="109">
          <cell r="D109">
            <v>3900</v>
          </cell>
          <cell r="F109">
            <v>0.22663176816255101</v>
          </cell>
        </row>
        <row r="110">
          <cell r="D110">
            <v>4000</v>
          </cell>
          <cell r="F110">
            <v>0.25835059051819498</v>
          </cell>
        </row>
        <row r="111">
          <cell r="D111">
            <v>4100</v>
          </cell>
          <cell r="F111">
            <v>0.28954226570060498</v>
          </cell>
        </row>
        <row r="112">
          <cell r="D112">
            <v>4200</v>
          </cell>
          <cell r="F112">
            <v>0.320067500811404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A13" sqref="A13:F22"/>
    </sheetView>
  </sheetViews>
  <sheetFormatPr defaultRowHeight="14.5" x14ac:dyDescent="0.35"/>
  <cols>
    <col min="1" max="1" width="16.81640625" bestFit="1" customWidth="1"/>
    <col min="2" max="2" width="11.81640625" bestFit="1" customWidth="1"/>
    <col min="3" max="3" width="16.81640625" bestFit="1" customWidth="1"/>
    <col min="4" max="4" width="11.81640625" bestFit="1" customWidth="1"/>
    <col min="5" max="5" width="16.81640625" bestFit="1" customWidth="1"/>
    <col min="6" max="6" width="11.81640625" bestFit="1" customWidth="1"/>
  </cols>
  <sheetData>
    <row r="1" spans="1:6" x14ac:dyDescent="0.35">
      <c r="A1" s="4" t="s">
        <v>2</v>
      </c>
      <c r="B1" s="4"/>
      <c r="C1" s="4" t="s">
        <v>3</v>
      </c>
      <c r="D1" s="4"/>
      <c r="E1" s="4" t="s">
        <v>4</v>
      </c>
      <c r="F1" s="4"/>
    </row>
    <row r="2" spans="1:6" x14ac:dyDescent="0.35">
      <c r="A2" s="2"/>
      <c r="B2" s="2"/>
      <c r="C2" s="2"/>
      <c r="D2" s="2"/>
      <c r="E2" s="2"/>
      <c r="F2" s="2"/>
    </row>
    <row r="3" spans="1:6" x14ac:dyDescent="0.35">
      <c r="A3" s="2" t="s">
        <v>5</v>
      </c>
      <c r="B3" s="2">
        <v>2454.7297297297296</v>
      </c>
      <c r="C3" s="2" t="s">
        <v>5</v>
      </c>
      <c r="D3" s="2">
        <v>87.276801801801795</v>
      </c>
      <c r="E3" s="2" t="s">
        <v>5</v>
      </c>
      <c r="F3" s="2">
        <v>0.52220694201763329</v>
      </c>
    </row>
    <row r="4" spans="1:6" x14ac:dyDescent="0.35">
      <c r="A4" s="2" t="s">
        <v>7</v>
      </c>
      <c r="B4" s="2">
        <v>697233.10810810758</v>
      </c>
      <c r="C4" s="2" t="s">
        <v>7</v>
      </c>
      <c r="D4" s="2">
        <v>30723.736758087634</v>
      </c>
      <c r="E4" s="2" t="s">
        <v>7</v>
      </c>
      <c r="F4" s="2">
        <v>0.15913021569134919</v>
      </c>
    </row>
    <row r="5" spans="1:6" x14ac:dyDescent="0.35">
      <c r="A5" s="2" t="s">
        <v>8</v>
      </c>
      <c r="B5" s="2">
        <v>-0.99145222997840676</v>
      </c>
      <c r="C5" s="2" t="s">
        <v>8</v>
      </c>
      <c r="D5" s="2">
        <v>8.6717995620417199</v>
      </c>
      <c r="E5" s="2" t="s">
        <v>8</v>
      </c>
      <c r="F5" s="2">
        <v>0.1526815989713195</v>
      </c>
    </row>
    <row r="6" spans="1:6" x14ac:dyDescent="0.35">
      <c r="A6" s="2" t="s">
        <v>9</v>
      </c>
      <c r="B6" s="2">
        <v>3.8685827133219823E-2</v>
      </c>
      <c r="C6" s="2" t="s">
        <v>9</v>
      </c>
      <c r="D6" s="2">
        <v>2.8678913535891373</v>
      </c>
      <c r="E6" s="2" t="s">
        <v>9</v>
      </c>
      <c r="F6" s="2">
        <v>0.98188820646900266</v>
      </c>
    </row>
    <row r="7" spans="1:6" x14ac:dyDescent="0.35">
      <c r="A7" s="2" t="s">
        <v>10</v>
      </c>
      <c r="B7" s="2">
        <v>800</v>
      </c>
      <c r="C7" s="2" t="s">
        <v>10</v>
      </c>
      <c r="D7" s="2">
        <v>0.05</v>
      </c>
      <c r="E7" s="2" t="s">
        <v>10</v>
      </c>
      <c r="F7" s="2">
        <v>0.112307471404299</v>
      </c>
    </row>
    <row r="8" spans="1:6" x14ac:dyDescent="0.35">
      <c r="A8" s="2" t="s">
        <v>11</v>
      </c>
      <c r="B8" s="2">
        <v>4200</v>
      </c>
      <c r="C8" s="2" t="s">
        <v>11</v>
      </c>
      <c r="D8" s="2">
        <v>926.3</v>
      </c>
      <c r="E8" s="2" t="s">
        <v>11</v>
      </c>
      <c r="F8" s="2">
        <v>1.76744283275783</v>
      </c>
    </row>
    <row r="9" spans="1:6" ht="15" thickBot="1" x14ac:dyDescent="0.4">
      <c r="A9" s="3" t="s">
        <v>12</v>
      </c>
      <c r="B9" s="3">
        <v>111</v>
      </c>
      <c r="C9" s="3" t="s">
        <v>12</v>
      </c>
      <c r="D9" s="3">
        <v>111</v>
      </c>
      <c r="E9" s="3" t="s">
        <v>12</v>
      </c>
      <c r="F9" s="3">
        <v>111</v>
      </c>
    </row>
    <row r="13" spans="1:6" ht="16" thickBot="1" x14ac:dyDescent="0.4">
      <c r="A13" s="5" t="s">
        <v>13</v>
      </c>
      <c r="B13" s="5"/>
      <c r="C13" s="5"/>
      <c r="D13" s="5"/>
    </row>
    <row r="14" spans="1:6" x14ac:dyDescent="0.35">
      <c r="A14" s="6" t="s">
        <v>2</v>
      </c>
      <c r="B14" s="6"/>
      <c r="C14" s="6" t="s">
        <v>3</v>
      </c>
      <c r="D14" s="6"/>
      <c r="E14" s="6" t="s">
        <v>4</v>
      </c>
      <c r="F14" s="6"/>
    </row>
    <row r="16" spans="1:6" x14ac:dyDescent="0.35">
      <c r="A16" t="s">
        <v>5</v>
      </c>
      <c r="B16" s="7">
        <v>2454.7297297297296</v>
      </c>
      <c r="C16" t="s">
        <v>5</v>
      </c>
      <c r="D16" s="7">
        <v>87.276801801801795</v>
      </c>
      <c r="E16" t="s">
        <v>5</v>
      </c>
      <c r="F16" s="7">
        <v>0.52220694201763329</v>
      </c>
    </row>
    <row r="17" spans="1:6" x14ac:dyDescent="0.35">
      <c r="A17" t="s">
        <v>6</v>
      </c>
      <c r="B17" s="7">
        <v>697233.10810810758</v>
      </c>
      <c r="C17" t="s">
        <v>6</v>
      </c>
      <c r="D17" s="7">
        <v>30723.736758087634</v>
      </c>
      <c r="E17" t="s">
        <v>6</v>
      </c>
      <c r="F17" s="7">
        <v>0.15913021569134919</v>
      </c>
    </row>
    <row r="18" spans="1:6" x14ac:dyDescent="0.35">
      <c r="A18" t="s">
        <v>8</v>
      </c>
      <c r="B18" s="7">
        <v>-0.99145222997840676</v>
      </c>
      <c r="C18" t="s">
        <v>8</v>
      </c>
      <c r="D18" s="7">
        <v>8.6717995620417199</v>
      </c>
      <c r="E18" t="s">
        <v>8</v>
      </c>
      <c r="F18" s="7">
        <v>0.1526815989713195</v>
      </c>
    </row>
    <row r="19" spans="1:6" x14ac:dyDescent="0.35">
      <c r="A19" t="s">
        <v>9</v>
      </c>
      <c r="B19" s="7">
        <v>3.8685827133219823E-2</v>
      </c>
      <c r="C19" t="s">
        <v>9</v>
      </c>
      <c r="D19" s="7">
        <v>2.8678913535891373</v>
      </c>
      <c r="E19" t="s">
        <v>9</v>
      </c>
      <c r="F19" s="7">
        <v>0.98188820646900266</v>
      </c>
    </row>
    <row r="20" spans="1:6" x14ac:dyDescent="0.35">
      <c r="A20" t="s">
        <v>10</v>
      </c>
      <c r="B20">
        <v>800</v>
      </c>
      <c r="C20" t="s">
        <v>10</v>
      </c>
      <c r="D20">
        <v>0.05</v>
      </c>
      <c r="E20" t="s">
        <v>10</v>
      </c>
      <c r="F20" s="7">
        <v>0.112307471404299</v>
      </c>
    </row>
    <row r="21" spans="1:6" x14ac:dyDescent="0.35">
      <c r="A21" t="s">
        <v>11</v>
      </c>
      <c r="B21">
        <v>4200</v>
      </c>
      <c r="C21" t="s">
        <v>11</v>
      </c>
      <c r="D21">
        <v>926.3</v>
      </c>
      <c r="E21" t="s">
        <v>11</v>
      </c>
      <c r="F21" s="7">
        <v>1.76744283275783</v>
      </c>
    </row>
    <row r="22" spans="1:6" ht="15" thickBot="1" x14ac:dyDescent="0.4">
      <c r="A22" s="8" t="s">
        <v>12</v>
      </c>
      <c r="B22" s="8">
        <v>111</v>
      </c>
      <c r="C22" s="8" t="s">
        <v>12</v>
      </c>
      <c r="D22" s="8">
        <v>111</v>
      </c>
      <c r="E22" s="8" t="s">
        <v>12</v>
      </c>
      <c r="F22" s="8">
        <v>111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2"/>
  <sheetViews>
    <sheetView tabSelected="1" workbookViewId="0">
      <selection activeCell="O19" sqref="O19"/>
    </sheetView>
  </sheetViews>
  <sheetFormatPr defaultRowHeight="14.5" x14ac:dyDescent="0.35"/>
  <cols>
    <col min="1" max="2" width="10.453125" bestFit="1" customWidth="1"/>
    <col min="3" max="3" width="5.36328125" bestFit="1" customWidth="1"/>
    <col min="4" max="4" width="6.81640625" bestFit="1" customWidth="1"/>
    <col min="5" max="5" width="11.81640625" bestFit="1" customWidth="1"/>
    <col min="7" max="7" width="9.26953125" bestFit="1" customWidth="1"/>
    <col min="8" max="8" width="11.36328125" bestFit="1" customWidth="1"/>
    <col min="9" max="9" width="9.26953125" bestFit="1" customWidth="1"/>
    <col min="10" max="10" width="10.36328125" bestFit="1" customWidth="1"/>
    <col min="11" max="11" width="9.26953125" bestFit="1" customWidth="1"/>
    <col min="12" max="12" width="6.36328125" bestFit="1" customWidth="1"/>
    <col min="18" max="19" width="10.4531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22" x14ac:dyDescent="0.35">
      <c r="A2" s="1">
        <v>43840</v>
      </c>
      <c r="B2" s="1">
        <v>44001</v>
      </c>
      <c r="C2">
        <v>800</v>
      </c>
      <c r="D2">
        <v>0.05</v>
      </c>
      <c r="E2">
        <v>1.76744283275783</v>
      </c>
    </row>
    <row r="3" spans="1:22" ht="15" thickBot="1" x14ac:dyDescent="0.4">
      <c r="A3" s="1">
        <v>43840</v>
      </c>
      <c r="B3" s="1">
        <v>44001</v>
      </c>
      <c r="C3">
        <v>900</v>
      </c>
      <c r="D3">
        <v>0.05</v>
      </c>
      <c r="E3">
        <v>1.6225391919773899</v>
      </c>
    </row>
    <row r="4" spans="1:22" x14ac:dyDescent="0.35">
      <c r="A4" s="1">
        <v>43840</v>
      </c>
      <c r="B4" s="1">
        <v>44001</v>
      </c>
      <c r="C4">
        <v>1000</v>
      </c>
      <c r="D4">
        <v>7.4999999999999997E-2</v>
      </c>
      <c r="E4">
        <v>1.4923503236161</v>
      </c>
      <c r="R4" s="13" t="s">
        <v>0</v>
      </c>
      <c r="S4" s="14" t="s">
        <v>1</v>
      </c>
      <c r="T4" s="14" t="s">
        <v>2</v>
      </c>
      <c r="U4" s="14" t="s">
        <v>3</v>
      </c>
      <c r="V4" s="14" t="s">
        <v>4</v>
      </c>
    </row>
    <row r="5" spans="1:22" x14ac:dyDescent="0.35">
      <c r="A5" s="1">
        <v>43840</v>
      </c>
      <c r="B5" s="1">
        <v>44001</v>
      </c>
      <c r="C5">
        <v>1100</v>
      </c>
      <c r="D5">
        <v>0.15</v>
      </c>
      <c r="E5">
        <v>1.37425548065639</v>
      </c>
      <c r="R5" s="9"/>
      <c r="S5" s="9"/>
      <c r="T5" s="9"/>
      <c r="U5" s="9"/>
      <c r="V5" s="9"/>
    </row>
    <row r="6" spans="1:22" x14ac:dyDescent="0.35">
      <c r="A6" s="1">
        <v>43840</v>
      </c>
      <c r="B6" s="1">
        <v>44001</v>
      </c>
      <c r="C6">
        <v>1150</v>
      </c>
      <c r="D6">
        <v>0.125</v>
      </c>
      <c r="E6">
        <v>1.3188023674520899</v>
      </c>
      <c r="R6" s="15">
        <v>43840</v>
      </c>
      <c r="S6" s="15">
        <v>44001</v>
      </c>
      <c r="T6" s="12">
        <v>1000</v>
      </c>
      <c r="U6" s="16">
        <v>7.4999999999999997E-2</v>
      </c>
      <c r="V6" s="17">
        <v>1.4923503236161</v>
      </c>
    </row>
    <row r="7" spans="1:22" x14ac:dyDescent="0.35">
      <c r="A7" s="1">
        <v>43840</v>
      </c>
      <c r="B7" s="1">
        <v>44001</v>
      </c>
      <c r="C7">
        <v>1200</v>
      </c>
      <c r="D7">
        <v>0.15</v>
      </c>
      <c r="E7">
        <v>1.26579247894606</v>
      </c>
      <c r="R7" s="15">
        <v>43840</v>
      </c>
      <c r="S7" s="15">
        <v>44001</v>
      </c>
      <c r="T7" s="12">
        <v>1250</v>
      </c>
      <c r="U7" s="16">
        <v>0.17499999999999999</v>
      </c>
      <c r="V7" s="17">
        <v>1.2148720090973799</v>
      </c>
    </row>
    <row r="8" spans="1:22" x14ac:dyDescent="0.35">
      <c r="A8" s="1">
        <v>43840</v>
      </c>
      <c r="B8" s="1">
        <v>44001</v>
      </c>
      <c r="C8">
        <v>1225</v>
      </c>
      <c r="D8">
        <v>0.17499999999999999</v>
      </c>
      <c r="E8">
        <v>1.24012507405568</v>
      </c>
      <c r="R8" s="15">
        <v>43840</v>
      </c>
      <c r="S8" s="15">
        <v>44001</v>
      </c>
      <c r="T8" s="12">
        <v>1500</v>
      </c>
      <c r="U8" s="16">
        <v>0.375</v>
      </c>
      <c r="V8" s="17">
        <v>0.98681028846693397</v>
      </c>
    </row>
    <row r="9" spans="1:22" x14ac:dyDescent="0.35">
      <c r="A9" s="1">
        <v>43840</v>
      </c>
      <c r="B9" s="1">
        <v>44001</v>
      </c>
      <c r="C9">
        <v>1250</v>
      </c>
      <c r="D9">
        <v>0.17499999999999999</v>
      </c>
      <c r="E9">
        <v>1.2148720090973799</v>
      </c>
      <c r="R9" s="15">
        <v>43840</v>
      </c>
      <c r="S9" s="15">
        <v>44001</v>
      </c>
      <c r="T9" s="12">
        <v>1750</v>
      </c>
      <c r="U9" s="16">
        <v>0.77500000000000002</v>
      </c>
      <c r="V9" s="17">
        <v>0.79358774704033497</v>
      </c>
    </row>
    <row r="10" spans="1:22" x14ac:dyDescent="0.35">
      <c r="A10" s="1">
        <v>43840</v>
      </c>
      <c r="B10" s="1">
        <v>44001</v>
      </c>
      <c r="C10">
        <v>1275</v>
      </c>
      <c r="D10">
        <v>0.17499999999999999</v>
      </c>
      <c r="E10">
        <v>1.1901001281934001</v>
      </c>
      <c r="R10" s="15">
        <v>43840</v>
      </c>
      <c r="S10" s="15">
        <v>44001</v>
      </c>
      <c r="T10" s="12">
        <v>2000</v>
      </c>
      <c r="U10" s="16">
        <v>1.625</v>
      </c>
      <c r="V10" s="17">
        <v>0.62678188107909105</v>
      </c>
    </row>
    <row r="11" spans="1:22" x14ac:dyDescent="0.35">
      <c r="A11" s="1">
        <v>43840</v>
      </c>
      <c r="B11" s="1">
        <v>44001</v>
      </c>
      <c r="C11">
        <v>1300</v>
      </c>
      <c r="D11">
        <v>0.2</v>
      </c>
      <c r="E11">
        <v>1.1658776856556301</v>
      </c>
      <c r="R11" s="15">
        <v>43840</v>
      </c>
      <c r="S11" s="15">
        <v>44001</v>
      </c>
      <c r="T11" s="12">
        <v>2250</v>
      </c>
      <c r="U11" s="16">
        <v>4</v>
      </c>
      <c r="V11" s="17">
        <v>0.48288692397523097</v>
      </c>
    </row>
    <row r="12" spans="1:22" x14ac:dyDescent="0.35">
      <c r="A12" s="1">
        <v>43840</v>
      </c>
      <c r="B12" s="1">
        <v>44001</v>
      </c>
      <c r="C12">
        <v>1325</v>
      </c>
      <c r="D12">
        <v>0.22500000000000001</v>
      </c>
      <c r="E12">
        <v>1.1421022162729999</v>
      </c>
      <c r="R12" s="15">
        <v>43840</v>
      </c>
      <c r="S12" s="15">
        <v>44001</v>
      </c>
      <c r="T12" s="12">
        <v>2500</v>
      </c>
      <c r="U12" s="16">
        <v>9.75</v>
      </c>
      <c r="V12" s="17">
        <v>0.36105137292447598</v>
      </c>
    </row>
    <row r="13" spans="1:22" x14ac:dyDescent="0.35">
      <c r="A13" s="1">
        <v>43840</v>
      </c>
      <c r="B13" s="1">
        <v>44001</v>
      </c>
      <c r="C13">
        <v>1350</v>
      </c>
      <c r="D13">
        <v>0.22500000000000001</v>
      </c>
      <c r="E13">
        <v>1.11867327574058</v>
      </c>
      <c r="R13" s="15">
        <v>43840</v>
      </c>
      <c r="S13" s="15">
        <v>44001</v>
      </c>
      <c r="T13" s="12">
        <v>2750</v>
      </c>
      <c r="U13" s="16">
        <v>22.95</v>
      </c>
      <c r="V13" s="17">
        <v>0.26332699333030302</v>
      </c>
    </row>
    <row r="14" spans="1:22" x14ac:dyDescent="0.35">
      <c r="A14" s="1">
        <v>43840</v>
      </c>
      <c r="B14" s="1">
        <v>44001</v>
      </c>
      <c r="C14">
        <v>1375</v>
      </c>
      <c r="D14">
        <v>0.27500000000000002</v>
      </c>
      <c r="E14">
        <v>1.09581918516819</v>
      </c>
      <c r="R14" s="15">
        <v>43840</v>
      </c>
      <c r="S14" s="15">
        <v>44001</v>
      </c>
      <c r="T14" s="12">
        <v>3000</v>
      </c>
      <c r="U14" s="16">
        <v>50.45</v>
      </c>
      <c r="V14" s="17">
        <v>0.18883872745125199</v>
      </c>
    </row>
    <row r="15" spans="1:22" x14ac:dyDescent="0.35">
      <c r="A15" s="1">
        <v>43840</v>
      </c>
      <c r="B15" s="1">
        <v>44001</v>
      </c>
      <c r="C15">
        <v>1400</v>
      </c>
      <c r="D15">
        <v>0.27500000000000002</v>
      </c>
      <c r="E15">
        <v>1.07320654986819</v>
      </c>
      <c r="R15" s="15">
        <v>43840</v>
      </c>
      <c r="S15" s="15">
        <v>44001</v>
      </c>
      <c r="T15" s="12">
        <v>3250</v>
      </c>
      <c r="U15" s="16">
        <v>107.3</v>
      </c>
      <c r="V15" s="17">
        <v>0.13230609037132701</v>
      </c>
    </row>
    <row r="16" spans="1:22" x14ac:dyDescent="0.35">
      <c r="A16" s="1">
        <v>43840</v>
      </c>
      <c r="B16" s="1">
        <v>44001</v>
      </c>
      <c r="C16">
        <v>1425</v>
      </c>
      <c r="D16">
        <v>0.32500000000000001</v>
      </c>
      <c r="E16">
        <v>1.0511381942623701</v>
      </c>
      <c r="R16" s="15">
        <v>43840</v>
      </c>
      <c r="S16" s="15">
        <v>44001</v>
      </c>
      <c r="T16" s="12">
        <v>3500</v>
      </c>
      <c r="U16" s="16">
        <v>248.85</v>
      </c>
      <c r="V16" s="17">
        <v>0.116041921478987</v>
      </c>
    </row>
    <row r="17" spans="1:22" x14ac:dyDescent="0.35">
      <c r="A17" s="1">
        <v>43840</v>
      </c>
      <c r="B17" s="1">
        <v>44001</v>
      </c>
      <c r="C17">
        <v>1450</v>
      </c>
      <c r="D17">
        <v>0.32500000000000001</v>
      </c>
      <c r="E17">
        <v>1.02928835058101</v>
      </c>
      <c r="R17" s="15">
        <v>43840</v>
      </c>
      <c r="S17" s="15">
        <v>44001</v>
      </c>
      <c r="T17" s="12">
        <v>3750</v>
      </c>
      <c r="U17" s="16">
        <v>482.4</v>
      </c>
      <c r="V17" s="17">
        <v>0.180618726486209</v>
      </c>
    </row>
    <row r="18" spans="1:22" x14ac:dyDescent="0.35">
      <c r="A18" s="1">
        <v>43840</v>
      </c>
      <c r="B18" s="1">
        <v>44001</v>
      </c>
      <c r="C18">
        <v>1475</v>
      </c>
      <c r="D18">
        <v>0.35</v>
      </c>
      <c r="E18">
        <v>1.00787400898636</v>
      </c>
      <c r="R18" s="15">
        <v>43840</v>
      </c>
      <c r="S18" s="15">
        <v>44001</v>
      </c>
      <c r="T18" s="12">
        <v>4000</v>
      </c>
      <c r="U18" s="16">
        <v>728.2</v>
      </c>
      <c r="V18" s="17">
        <v>0.25887633576477098</v>
      </c>
    </row>
    <row r="19" spans="1:22" ht="15" thickBot="1" x14ac:dyDescent="0.4">
      <c r="A19" s="1">
        <v>43840</v>
      </c>
      <c r="B19" s="1">
        <v>44001</v>
      </c>
      <c r="C19">
        <v>1500</v>
      </c>
      <c r="D19">
        <v>0.375</v>
      </c>
      <c r="E19">
        <v>0.98681028846693397</v>
      </c>
      <c r="R19" s="18" t="s">
        <v>16</v>
      </c>
      <c r="S19" s="18"/>
      <c r="T19" s="18"/>
      <c r="U19" s="18"/>
      <c r="V19" s="18"/>
    </row>
    <row r="20" spans="1:22" ht="16" thickBot="1" x14ac:dyDescent="0.4">
      <c r="A20" s="1">
        <v>43840</v>
      </c>
      <c r="B20" s="1">
        <v>44001</v>
      </c>
      <c r="C20">
        <v>1525</v>
      </c>
      <c r="D20">
        <v>0.42499999999999999</v>
      </c>
      <c r="E20">
        <v>0.96616182279002505</v>
      </c>
      <c r="G20" s="10" t="s">
        <v>15</v>
      </c>
      <c r="H20" s="10"/>
      <c r="I20" s="10"/>
      <c r="J20" s="10"/>
      <c r="K20" s="10"/>
      <c r="L20" s="10"/>
    </row>
    <row r="21" spans="1:22" x14ac:dyDescent="0.35">
      <c r="A21" s="1">
        <v>43840</v>
      </c>
      <c r="B21" s="1">
        <v>44001</v>
      </c>
      <c r="C21">
        <v>1550</v>
      </c>
      <c r="D21">
        <v>0.42499999999999999</v>
      </c>
      <c r="E21">
        <v>0.94569093819167904</v>
      </c>
      <c r="G21" s="6" t="s">
        <v>2</v>
      </c>
      <c r="H21" s="6"/>
      <c r="I21" s="6" t="s">
        <v>3</v>
      </c>
      <c r="J21" s="6"/>
      <c r="K21" s="6" t="s">
        <v>4</v>
      </c>
      <c r="L21" s="6"/>
    </row>
    <row r="22" spans="1:22" x14ac:dyDescent="0.35">
      <c r="A22" s="1">
        <v>43840</v>
      </c>
      <c r="B22" s="1">
        <v>44001</v>
      </c>
      <c r="C22">
        <v>1575</v>
      </c>
      <c r="D22">
        <v>0.47499999999999998</v>
      </c>
      <c r="E22">
        <v>0.92568341625154105</v>
      </c>
    </row>
    <row r="23" spans="1:22" x14ac:dyDescent="0.35">
      <c r="A23" s="1">
        <v>43840</v>
      </c>
      <c r="B23" s="1">
        <v>44001</v>
      </c>
      <c r="C23">
        <v>1600</v>
      </c>
      <c r="D23">
        <v>0.52500000000000002</v>
      </c>
      <c r="E23">
        <v>0.90598252023099801</v>
      </c>
      <c r="G23" t="s">
        <v>5</v>
      </c>
      <c r="H23" s="7">
        <v>2454.7297297297296</v>
      </c>
      <c r="I23" t="s">
        <v>5</v>
      </c>
      <c r="J23" s="7">
        <v>87.276801801801795</v>
      </c>
      <c r="K23" t="s">
        <v>5</v>
      </c>
      <c r="L23" s="7">
        <v>0.52220694201763329</v>
      </c>
    </row>
    <row r="24" spans="1:22" x14ac:dyDescent="0.35">
      <c r="A24" s="1">
        <v>43840</v>
      </c>
      <c r="B24" s="1">
        <v>44001</v>
      </c>
      <c r="C24">
        <v>1625</v>
      </c>
      <c r="D24">
        <v>0.57499999999999996</v>
      </c>
      <c r="E24">
        <v>0.88657907996416896</v>
      </c>
      <c r="G24" s="11" t="s">
        <v>14</v>
      </c>
      <c r="H24" s="7">
        <v>697233.10810810758</v>
      </c>
      <c r="I24" s="11" t="s">
        <v>14</v>
      </c>
      <c r="J24" s="7">
        <v>30723.736758087634</v>
      </c>
      <c r="K24" s="11" t="s">
        <v>14</v>
      </c>
      <c r="L24" s="7">
        <v>0.15913021569134919</v>
      </c>
    </row>
    <row r="25" spans="1:22" x14ac:dyDescent="0.35">
      <c r="A25" s="1">
        <v>43840</v>
      </c>
      <c r="B25" s="1">
        <v>44001</v>
      </c>
      <c r="C25">
        <v>1650</v>
      </c>
      <c r="D25">
        <v>0.57499999999999996</v>
      </c>
      <c r="E25">
        <v>0.86732159514118901</v>
      </c>
      <c r="G25" t="s">
        <v>8</v>
      </c>
      <c r="H25" s="7">
        <v>-0.99145222997840676</v>
      </c>
      <c r="I25" t="s">
        <v>8</v>
      </c>
      <c r="J25" s="7">
        <v>8.6717995620417199</v>
      </c>
      <c r="K25" t="s">
        <v>8</v>
      </c>
      <c r="L25" s="7">
        <v>0.1526815989713195</v>
      </c>
    </row>
    <row r="26" spans="1:22" x14ac:dyDescent="0.35">
      <c r="A26" s="1">
        <v>43840</v>
      </c>
      <c r="B26" s="1">
        <v>44001</v>
      </c>
      <c r="C26">
        <v>1675</v>
      </c>
      <c r="D26">
        <v>0.625</v>
      </c>
      <c r="E26">
        <v>0.84848853249632605</v>
      </c>
      <c r="G26" t="s">
        <v>9</v>
      </c>
      <c r="H26" s="7">
        <v>3.8685827133219823E-2</v>
      </c>
      <c r="I26" t="s">
        <v>9</v>
      </c>
      <c r="J26" s="7">
        <v>2.8678913535891373</v>
      </c>
      <c r="K26" t="s">
        <v>9</v>
      </c>
      <c r="L26" s="7">
        <v>0.98188820646900266</v>
      </c>
    </row>
    <row r="27" spans="1:22" x14ac:dyDescent="0.35">
      <c r="A27" s="1">
        <v>43840</v>
      </c>
      <c r="B27" s="1">
        <v>44001</v>
      </c>
      <c r="C27">
        <v>1700</v>
      </c>
      <c r="D27">
        <v>0.67500000000000004</v>
      </c>
      <c r="E27">
        <v>0.82992452605706102</v>
      </c>
      <c r="G27" t="s">
        <v>10</v>
      </c>
      <c r="H27">
        <v>800</v>
      </c>
      <c r="I27" t="s">
        <v>10</v>
      </c>
      <c r="J27">
        <v>0.05</v>
      </c>
      <c r="K27" t="s">
        <v>10</v>
      </c>
      <c r="L27" s="7">
        <v>0.112307471404299</v>
      </c>
    </row>
    <row r="28" spans="1:22" x14ac:dyDescent="0.35">
      <c r="A28" s="1">
        <v>43840</v>
      </c>
      <c r="B28" s="1">
        <v>44001</v>
      </c>
      <c r="C28">
        <v>1725</v>
      </c>
      <c r="D28">
        <v>0.72499999999999998</v>
      </c>
      <c r="E28">
        <v>0.811628354707574</v>
      </c>
      <c r="G28" t="s">
        <v>11</v>
      </c>
      <c r="H28">
        <v>4200</v>
      </c>
      <c r="I28" t="s">
        <v>11</v>
      </c>
      <c r="J28">
        <v>926.3</v>
      </c>
      <c r="K28" t="s">
        <v>11</v>
      </c>
      <c r="L28" s="7">
        <v>1.76744283275783</v>
      </c>
    </row>
    <row r="29" spans="1:22" ht="15" thickBot="1" x14ac:dyDescent="0.4">
      <c r="A29" s="1">
        <v>43840</v>
      </c>
      <c r="B29" s="1">
        <v>44001</v>
      </c>
      <c r="C29">
        <v>1750</v>
      </c>
      <c r="D29">
        <v>0.77500000000000002</v>
      </c>
      <c r="E29">
        <v>0.79358774704033497</v>
      </c>
      <c r="G29" s="8" t="s">
        <v>12</v>
      </c>
      <c r="H29" s="8">
        <v>111</v>
      </c>
      <c r="I29" s="8" t="s">
        <v>12</v>
      </c>
      <c r="J29" s="8">
        <v>111</v>
      </c>
      <c r="K29" s="8" t="s">
        <v>12</v>
      </c>
      <c r="L29" s="8">
        <v>111</v>
      </c>
    </row>
    <row r="30" spans="1:22" x14ac:dyDescent="0.35">
      <c r="A30" s="1">
        <v>43840</v>
      </c>
      <c r="B30" s="1">
        <v>44001</v>
      </c>
      <c r="C30">
        <v>1775</v>
      </c>
      <c r="D30">
        <v>0.82499999999999996</v>
      </c>
      <c r="E30">
        <v>0.77579696465303505</v>
      </c>
    </row>
    <row r="31" spans="1:22" x14ac:dyDescent="0.35">
      <c r="A31" s="1">
        <v>43840</v>
      </c>
      <c r="B31" s="1">
        <v>44001</v>
      </c>
      <c r="C31">
        <v>1800</v>
      </c>
      <c r="D31">
        <v>0.875</v>
      </c>
      <c r="E31">
        <v>0.75824923001836098</v>
      </c>
    </row>
    <row r="32" spans="1:22" x14ac:dyDescent="0.35">
      <c r="A32" s="1">
        <v>43840</v>
      </c>
      <c r="B32" s="1">
        <v>44001</v>
      </c>
      <c r="C32">
        <v>1825</v>
      </c>
      <c r="D32">
        <v>0.92500000000000004</v>
      </c>
      <c r="E32">
        <v>0.74093802611194903</v>
      </c>
    </row>
    <row r="33" spans="1:5" x14ac:dyDescent="0.35">
      <c r="A33" s="1">
        <v>43840</v>
      </c>
      <c r="B33" s="1">
        <v>44001</v>
      </c>
      <c r="C33">
        <v>1850</v>
      </c>
      <c r="D33">
        <v>1</v>
      </c>
      <c r="E33">
        <v>0.72392391879680595</v>
      </c>
    </row>
    <row r="34" spans="1:5" x14ac:dyDescent="0.35">
      <c r="A34" s="1">
        <v>43840</v>
      </c>
      <c r="B34" s="1">
        <v>44001</v>
      </c>
      <c r="C34">
        <v>1875</v>
      </c>
      <c r="D34">
        <v>1.075</v>
      </c>
      <c r="E34">
        <v>0.70713293799772203</v>
      </c>
    </row>
    <row r="35" spans="1:5" x14ac:dyDescent="0.35">
      <c r="A35" s="1">
        <v>43840</v>
      </c>
      <c r="B35" s="1">
        <v>44001</v>
      </c>
      <c r="C35">
        <v>1900</v>
      </c>
      <c r="D35">
        <v>1.175</v>
      </c>
      <c r="E35">
        <v>0.69062497338180295</v>
      </c>
    </row>
    <row r="36" spans="1:5" x14ac:dyDescent="0.35">
      <c r="A36" s="1">
        <v>43840</v>
      </c>
      <c r="B36" s="1">
        <v>44001</v>
      </c>
      <c r="C36">
        <v>1925</v>
      </c>
      <c r="D36">
        <v>1.2749999999999999</v>
      </c>
      <c r="E36">
        <v>0.67433073495926299</v>
      </c>
    </row>
    <row r="37" spans="1:5" x14ac:dyDescent="0.35">
      <c r="A37" s="1">
        <v>43840</v>
      </c>
      <c r="B37" s="1">
        <v>44001</v>
      </c>
      <c r="C37">
        <v>1950</v>
      </c>
      <c r="D37">
        <v>1.375</v>
      </c>
      <c r="E37">
        <v>0.65823844993534897</v>
      </c>
    </row>
    <row r="38" spans="1:5" x14ac:dyDescent="0.35">
      <c r="A38" s="1">
        <v>43840</v>
      </c>
      <c r="B38" s="1">
        <v>44001</v>
      </c>
      <c r="C38">
        <v>1975</v>
      </c>
      <c r="D38">
        <v>1.5</v>
      </c>
      <c r="E38">
        <v>0.64241271671836297</v>
      </c>
    </row>
    <row r="39" spans="1:5" x14ac:dyDescent="0.35">
      <c r="A39" s="1">
        <v>43840</v>
      </c>
      <c r="B39" s="1">
        <v>44001</v>
      </c>
      <c r="C39">
        <v>2000</v>
      </c>
      <c r="D39">
        <v>1.625</v>
      </c>
      <c r="E39">
        <v>0.62678188107909105</v>
      </c>
    </row>
    <row r="40" spans="1:5" x14ac:dyDescent="0.35">
      <c r="A40" s="1">
        <v>43840</v>
      </c>
      <c r="B40" s="1">
        <v>44001</v>
      </c>
      <c r="C40">
        <v>2025</v>
      </c>
      <c r="D40">
        <v>1.7749999999999999</v>
      </c>
      <c r="E40">
        <v>0.61140277723206304</v>
      </c>
    </row>
    <row r="41" spans="1:5" x14ac:dyDescent="0.35">
      <c r="A41" s="1">
        <v>43840</v>
      </c>
      <c r="B41" s="1">
        <v>44001</v>
      </c>
      <c r="C41">
        <v>2050</v>
      </c>
      <c r="D41">
        <v>1.925</v>
      </c>
      <c r="E41">
        <v>0.59621110033291103</v>
      </c>
    </row>
    <row r="42" spans="1:5" x14ac:dyDescent="0.35">
      <c r="A42" s="1">
        <v>43840</v>
      </c>
      <c r="B42" s="1">
        <v>44001</v>
      </c>
      <c r="C42">
        <v>2075</v>
      </c>
      <c r="D42">
        <v>2.125</v>
      </c>
      <c r="E42">
        <v>0.58132342005532001</v>
      </c>
    </row>
    <row r="43" spans="1:5" x14ac:dyDescent="0.35">
      <c r="A43" s="1">
        <v>43840</v>
      </c>
      <c r="B43" s="1">
        <v>44001</v>
      </c>
      <c r="C43">
        <v>2100</v>
      </c>
      <c r="D43">
        <v>2.3250000000000002</v>
      </c>
      <c r="E43">
        <v>0.566609434606829</v>
      </c>
    </row>
    <row r="44" spans="1:5" x14ac:dyDescent="0.35">
      <c r="A44" s="1">
        <v>43840</v>
      </c>
      <c r="B44" s="1">
        <v>44001</v>
      </c>
      <c r="C44">
        <v>2125</v>
      </c>
      <c r="D44">
        <v>2.5249999999999999</v>
      </c>
      <c r="E44">
        <v>0.55206550968272095</v>
      </c>
    </row>
    <row r="45" spans="1:5" x14ac:dyDescent="0.35">
      <c r="A45" s="1">
        <v>43840</v>
      </c>
      <c r="B45" s="1">
        <v>44001</v>
      </c>
      <c r="C45">
        <v>2150</v>
      </c>
      <c r="D45">
        <v>2.7749999999999999</v>
      </c>
      <c r="E45">
        <v>0.53781051366133503</v>
      </c>
    </row>
    <row r="46" spans="1:5" x14ac:dyDescent="0.35">
      <c r="A46" s="1">
        <v>43840</v>
      </c>
      <c r="B46" s="1">
        <v>44001</v>
      </c>
      <c r="C46">
        <v>2175</v>
      </c>
      <c r="D46">
        <v>3.0750000000000002</v>
      </c>
      <c r="E46">
        <v>0.52383714596572395</v>
      </c>
    </row>
    <row r="47" spans="1:5" x14ac:dyDescent="0.35">
      <c r="A47" s="1">
        <v>43840</v>
      </c>
      <c r="B47" s="1">
        <v>44001</v>
      </c>
      <c r="C47">
        <v>2200</v>
      </c>
      <c r="D47">
        <v>3.35</v>
      </c>
      <c r="E47">
        <v>0.50995826287326596</v>
      </c>
    </row>
    <row r="48" spans="1:5" x14ac:dyDescent="0.35">
      <c r="A48" s="1">
        <v>43840</v>
      </c>
      <c r="B48" s="1">
        <v>44001</v>
      </c>
      <c r="C48">
        <v>2225</v>
      </c>
      <c r="D48">
        <v>3.65</v>
      </c>
      <c r="E48">
        <v>0.49629130322366</v>
      </c>
    </row>
    <row r="49" spans="1:5" x14ac:dyDescent="0.35">
      <c r="A49" s="1">
        <v>43840</v>
      </c>
      <c r="B49" s="1">
        <v>44001</v>
      </c>
      <c r="C49">
        <v>2250</v>
      </c>
      <c r="D49">
        <v>4</v>
      </c>
      <c r="E49">
        <v>0.48288692397523097</v>
      </c>
    </row>
    <row r="50" spans="1:5" x14ac:dyDescent="0.35">
      <c r="A50" s="1">
        <v>43840</v>
      </c>
      <c r="B50" s="1">
        <v>44001</v>
      </c>
      <c r="C50">
        <v>2275</v>
      </c>
      <c r="D50">
        <v>4.3499999999999996</v>
      </c>
      <c r="E50">
        <v>0.46962878762424698</v>
      </c>
    </row>
    <row r="51" spans="1:5" x14ac:dyDescent="0.35">
      <c r="A51" s="1">
        <v>43840</v>
      </c>
      <c r="B51" s="1">
        <v>44001</v>
      </c>
      <c r="C51">
        <v>2300</v>
      </c>
      <c r="D51">
        <v>4.75</v>
      </c>
      <c r="E51">
        <v>0.45662606135448802</v>
      </c>
    </row>
    <row r="52" spans="1:5" x14ac:dyDescent="0.35">
      <c r="A52" s="1">
        <v>43840</v>
      </c>
      <c r="B52" s="1">
        <v>44001</v>
      </c>
      <c r="C52">
        <v>2325</v>
      </c>
      <c r="D52">
        <v>5.2</v>
      </c>
      <c r="E52">
        <v>0.44387253599334398</v>
      </c>
    </row>
    <row r="53" spans="1:5" x14ac:dyDescent="0.35">
      <c r="A53" s="1">
        <v>43840</v>
      </c>
      <c r="B53" s="1">
        <v>44001</v>
      </c>
      <c r="C53">
        <v>2350</v>
      </c>
      <c r="D53">
        <v>5.65</v>
      </c>
      <c r="E53">
        <v>0.43124847524516502</v>
      </c>
    </row>
    <row r="54" spans="1:5" x14ac:dyDescent="0.35">
      <c r="A54" s="1">
        <v>43840</v>
      </c>
      <c r="B54" s="1">
        <v>44001</v>
      </c>
      <c r="C54">
        <v>2375</v>
      </c>
      <c r="D54">
        <v>6.2</v>
      </c>
      <c r="E54">
        <v>0.41897579834404702</v>
      </c>
    </row>
    <row r="55" spans="1:5" x14ac:dyDescent="0.35">
      <c r="A55" s="1">
        <v>43840</v>
      </c>
      <c r="B55" s="1">
        <v>44001</v>
      </c>
      <c r="C55">
        <v>2400</v>
      </c>
      <c r="D55">
        <v>6.8</v>
      </c>
      <c r="E55">
        <v>0.40693346831438498</v>
      </c>
    </row>
    <row r="56" spans="1:5" x14ac:dyDescent="0.35">
      <c r="A56" s="1">
        <v>43840</v>
      </c>
      <c r="B56" s="1">
        <v>44001</v>
      </c>
      <c r="C56">
        <v>2425</v>
      </c>
      <c r="D56">
        <v>7.45</v>
      </c>
      <c r="E56">
        <v>0.39511867346698099</v>
      </c>
    </row>
    <row r="57" spans="1:5" x14ac:dyDescent="0.35">
      <c r="A57" s="1">
        <v>43840</v>
      </c>
      <c r="B57" s="1">
        <v>44001</v>
      </c>
      <c r="C57">
        <v>2450</v>
      </c>
      <c r="D57">
        <v>8.15</v>
      </c>
      <c r="E57">
        <v>0.38351835537341</v>
      </c>
    </row>
    <row r="58" spans="1:5" x14ac:dyDescent="0.35">
      <c r="A58" s="1">
        <v>43840</v>
      </c>
      <c r="B58" s="1">
        <v>44001</v>
      </c>
      <c r="C58">
        <v>2475</v>
      </c>
      <c r="D58">
        <v>8.9</v>
      </c>
      <c r="E58">
        <v>0.37212938549904301</v>
      </c>
    </row>
    <row r="59" spans="1:5" x14ac:dyDescent="0.35">
      <c r="A59" s="1">
        <v>43840</v>
      </c>
      <c r="B59" s="1">
        <v>44001</v>
      </c>
      <c r="C59">
        <v>2500</v>
      </c>
      <c r="D59">
        <v>9.75</v>
      </c>
      <c r="E59">
        <v>0.36105137292447598</v>
      </c>
    </row>
    <row r="60" spans="1:5" x14ac:dyDescent="0.35">
      <c r="A60" s="1">
        <v>43840</v>
      </c>
      <c r="B60" s="1">
        <v>44001</v>
      </c>
      <c r="C60">
        <v>2525</v>
      </c>
      <c r="D60">
        <v>10.65</v>
      </c>
      <c r="E60">
        <v>0.35016869321726402</v>
      </c>
    </row>
    <row r="61" spans="1:5" x14ac:dyDescent="0.35">
      <c r="A61" s="1">
        <v>43840</v>
      </c>
      <c r="B61" s="1">
        <v>44001</v>
      </c>
      <c r="C61">
        <v>2550</v>
      </c>
      <c r="D61">
        <v>11.55</v>
      </c>
      <c r="E61">
        <v>0.33937006371217099</v>
      </c>
    </row>
    <row r="62" spans="1:5" x14ac:dyDescent="0.35">
      <c r="A62" s="1">
        <v>43840</v>
      </c>
      <c r="B62" s="1">
        <v>44001</v>
      </c>
      <c r="C62">
        <v>2575</v>
      </c>
      <c r="D62">
        <v>12.65</v>
      </c>
      <c r="E62">
        <v>0.32906298308323101</v>
      </c>
    </row>
    <row r="63" spans="1:5" x14ac:dyDescent="0.35">
      <c r="A63" s="1">
        <v>43840</v>
      </c>
      <c r="B63" s="1">
        <v>44001</v>
      </c>
      <c r="C63">
        <v>2600</v>
      </c>
      <c r="D63">
        <v>13.8</v>
      </c>
      <c r="E63">
        <v>0.31892443575685703</v>
      </c>
    </row>
    <row r="64" spans="1:5" x14ac:dyDescent="0.35">
      <c r="A64" s="1">
        <v>43840</v>
      </c>
      <c r="B64" s="1">
        <v>44001</v>
      </c>
      <c r="C64">
        <v>2625</v>
      </c>
      <c r="D64">
        <v>15.05</v>
      </c>
      <c r="E64">
        <v>0.309043104181215</v>
      </c>
    </row>
    <row r="65" spans="1:5" x14ac:dyDescent="0.35">
      <c r="A65" s="1">
        <v>43840</v>
      </c>
      <c r="B65" s="1">
        <v>44001</v>
      </c>
      <c r="C65">
        <v>2650</v>
      </c>
      <c r="D65">
        <v>16.399999999999999</v>
      </c>
      <c r="E65">
        <v>0.29940653358302799</v>
      </c>
    </row>
    <row r="66" spans="1:5" x14ac:dyDescent="0.35">
      <c r="A66" s="1">
        <v>43840</v>
      </c>
      <c r="B66" s="1">
        <v>44001</v>
      </c>
      <c r="C66">
        <v>2675</v>
      </c>
      <c r="D66">
        <v>17.899999999999999</v>
      </c>
      <c r="E66">
        <v>0.29010011132015001</v>
      </c>
    </row>
    <row r="67" spans="1:5" x14ac:dyDescent="0.35">
      <c r="A67" s="1">
        <v>43840</v>
      </c>
      <c r="B67" s="1">
        <v>44001</v>
      </c>
      <c r="C67">
        <v>2700</v>
      </c>
      <c r="D67">
        <v>19.45</v>
      </c>
      <c r="E67">
        <v>0.280915481721984</v>
      </c>
    </row>
    <row r="68" spans="1:5" x14ac:dyDescent="0.35">
      <c r="A68" s="1">
        <v>43840</v>
      </c>
      <c r="B68" s="1">
        <v>44001</v>
      </c>
      <c r="C68">
        <v>2725</v>
      </c>
      <c r="D68">
        <v>21.1</v>
      </c>
      <c r="E68">
        <v>0.271935989368422</v>
      </c>
    </row>
    <row r="69" spans="1:5" x14ac:dyDescent="0.35">
      <c r="A69" s="1">
        <v>43840</v>
      </c>
      <c r="B69" s="1">
        <v>44001</v>
      </c>
      <c r="C69">
        <v>2750</v>
      </c>
      <c r="D69">
        <v>22.95</v>
      </c>
      <c r="E69">
        <v>0.26332699333030302</v>
      </c>
    </row>
    <row r="70" spans="1:5" x14ac:dyDescent="0.35">
      <c r="A70" s="1">
        <v>43840</v>
      </c>
      <c r="B70" s="1">
        <v>44001</v>
      </c>
      <c r="C70">
        <v>2775</v>
      </c>
      <c r="D70">
        <v>24.9</v>
      </c>
      <c r="E70">
        <v>0.25488642650869298</v>
      </c>
    </row>
    <row r="71" spans="1:5" x14ac:dyDescent="0.35">
      <c r="A71" s="1">
        <v>43840</v>
      </c>
      <c r="B71" s="1">
        <v>44001</v>
      </c>
      <c r="C71">
        <v>2800</v>
      </c>
      <c r="D71">
        <v>27</v>
      </c>
      <c r="E71">
        <v>0.24668512790184099</v>
      </c>
    </row>
    <row r="72" spans="1:5" x14ac:dyDescent="0.35">
      <c r="A72" s="1">
        <v>43840</v>
      </c>
      <c r="B72" s="1">
        <v>44001</v>
      </c>
      <c r="C72">
        <v>2825</v>
      </c>
      <c r="D72">
        <v>29.3</v>
      </c>
      <c r="E72">
        <v>0.238785834372922</v>
      </c>
    </row>
    <row r="73" spans="1:5" x14ac:dyDescent="0.35">
      <c r="A73" s="1">
        <v>43840</v>
      </c>
      <c r="B73" s="1">
        <v>44001</v>
      </c>
      <c r="C73">
        <v>2850</v>
      </c>
      <c r="D73">
        <v>31.7</v>
      </c>
      <c r="E73">
        <v>0.230996764064126</v>
      </c>
    </row>
    <row r="74" spans="1:5" x14ac:dyDescent="0.35">
      <c r="A74" s="1">
        <v>43840</v>
      </c>
      <c r="B74" s="1">
        <v>44001</v>
      </c>
      <c r="C74">
        <v>2875</v>
      </c>
      <c r="D74">
        <v>34.299999999999997</v>
      </c>
      <c r="E74">
        <v>0.22346286551747799</v>
      </c>
    </row>
    <row r="75" spans="1:5" x14ac:dyDescent="0.35">
      <c r="A75" s="1">
        <v>43840</v>
      </c>
      <c r="B75" s="1">
        <v>44001</v>
      </c>
      <c r="C75">
        <v>2900</v>
      </c>
      <c r="D75">
        <v>37.1</v>
      </c>
      <c r="E75">
        <v>0.21615826338840499</v>
      </c>
    </row>
    <row r="76" spans="1:5" x14ac:dyDescent="0.35">
      <c r="A76" s="1">
        <v>43840</v>
      </c>
      <c r="B76" s="1">
        <v>44001</v>
      </c>
      <c r="C76">
        <v>2925</v>
      </c>
      <c r="D76">
        <v>40.15</v>
      </c>
      <c r="E76">
        <v>0.20912520179720401</v>
      </c>
    </row>
    <row r="77" spans="1:5" x14ac:dyDescent="0.35">
      <c r="A77" s="1">
        <v>43840</v>
      </c>
      <c r="B77" s="1">
        <v>44001</v>
      </c>
      <c r="C77">
        <v>2950</v>
      </c>
      <c r="D77">
        <v>43.35</v>
      </c>
      <c r="E77">
        <v>0.20218427527668201</v>
      </c>
    </row>
    <row r="78" spans="1:5" x14ac:dyDescent="0.35">
      <c r="A78" s="1">
        <v>43840</v>
      </c>
      <c r="B78" s="1">
        <v>44001</v>
      </c>
      <c r="C78">
        <v>2975</v>
      </c>
      <c r="D78">
        <v>46.75</v>
      </c>
      <c r="E78">
        <v>0.195385782456899</v>
      </c>
    </row>
    <row r="79" spans="1:5" x14ac:dyDescent="0.35">
      <c r="A79" s="1">
        <v>43840</v>
      </c>
      <c r="B79" s="1">
        <v>44001</v>
      </c>
      <c r="C79">
        <v>3000</v>
      </c>
      <c r="D79">
        <v>50.45</v>
      </c>
      <c r="E79">
        <v>0.18883872745125199</v>
      </c>
    </row>
    <row r="80" spans="1:5" x14ac:dyDescent="0.35">
      <c r="A80" s="1">
        <v>43840</v>
      </c>
      <c r="B80" s="1">
        <v>44001</v>
      </c>
      <c r="C80">
        <v>3025</v>
      </c>
      <c r="D80">
        <v>54.35</v>
      </c>
      <c r="E80">
        <v>0.182370593764376</v>
      </c>
    </row>
    <row r="81" spans="1:5" x14ac:dyDescent="0.35">
      <c r="A81" s="1">
        <v>43840</v>
      </c>
      <c r="B81" s="1">
        <v>44001</v>
      </c>
      <c r="C81">
        <v>3050</v>
      </c>
      <c r="D81">
        <v>58.6</v>
      </c>
      <c r="E81">
        <v>0.176152800695872</v>
      </c>
    </row>
    <row r="82" spans="1:5" x14ac:dyDescent="0.35">
      <c r="A82" s="1">
        <v>43840</v>
      </c>
      <c r="B82" s="1">
        <v>44001</v>
      </c>
      <c r="C82">
        <v>3075</v>
      </c>
      <c r="D82">
        <v>63.15</v>
      </c>
      <c r="E82">
        <v>0.170067938761609</v>
      </c>
    </row>
    <row r="83" spans="1:5" x14ac:dyDescent="0.35">
      <c r="A83" s="1">
        <v>43840</v>
      </c>
      <c r="B83" s="1">
        <v>44001</v>
      </c>
      <c r="C83">
        <v>3100</v>
      </c>
      <c r="D83">
        <v>68.05</v>
      </c>
      <c r="E83">
        <v>0.164149290084208</v>
      </c>
    </row>
    <row r="84" spans="1:5" x14ac:dyDescent="0.35">
      <c r="A84" s="1">
        <v>43840</v>
      </c>
      <c r="B84" s="1">
        <v>44001</v>
      </c>
      <c r="C84">
        <v>3125</v>
      </c>
      <c r="D84">
        <v>73.349999999999994</v>
      </c>
      <c r="E84">
        <v>0.158410565471482</v>
      </c>
    </row>
    <row r="85" spans="1:5" x14ac:dyDescent="0.35">
      <c r="A85" s="1">
        <v>43840</v>
      </c>
      <c r="B85" s="1">
        <v>44001</v>
      </c>
      <c r="C85">
        <v>3150</v>
      </c>
      <c r="D85">
        <v>79.05</v>
      </c>
      <c r="E85">
        <v>0.15280214204109799</v>
      </c>
    </row>
    <row r="86" spans="1:5" x14ac:dyDescent="0.35">
      <c r="A86" s="1">
        <v>43840</v>
      </c>
      <c r="B86" s="1">
        <v>44001</v>
      </c>
      <c r="C86">
        <v>3175</v>
      </c>
      <c r="D86">
        <v>85.25</v>
      </c>
      <c r="E86">
        <v>0.147393767683313</v>
      </c>
    </row>
    <row r="87" spans="1:5" x14ac:dyDescent="0.35">
      <c r="A87" s="1">
        <v>43840</v>
      </c>
      <c r="B87" s="1">
        <v>44001</v>
      </c>
      <c r="C87">
        <v>3200</v>
      </c>
      <c r="D87">
        <v>91.95</v>
      </c>
      <c r="E87">
        <v>0.14212794156856801</v>
      </c>
    </row>
    <row r="88" spans="1:5" x14ac:dyDescent="0.35">
      <c r="A88" s="1">
        <v>43840</v>
      </c>
      <c r="B88" s="1">
        <v>44001</v>
      </c>
      <c r="C88">
        <v>3225</v>
      </c>
      <c r="D88">
        <v>99.25</v>
      </c>
      <c r="E88">
        <v>0.13706248213166899</v>
      </c>
    </row>
    <row r="89" spans="1:5" x14ac:dyDescent="0.35">
      <c r="A89" s="1">
        <v>43840</v>
      </c>
      <c r="B89" s="1">
        <v>44001</v>
      </c>
      <c r="C89">
        <v>3250</v>
      </c>
      <c r="D89">
        <v>107.3</v>
      </c>
      <c r="E89">
        <v>0.13230609037132701</v>
      </c>
    </row>
    <row r="90" spans="1:5" x14ac:dyDescent="0.35">
      <c r="A90" s="1">
        <v>43840</v>
      </c>
      <c r="B90" s="1">
        <v>44001</v>
      </c>
      <c r="C90">
        <v>3275</v>
      </c>
      <c r="D90">
        <v>116.1</v>
      </c>
      <c r="E90">
        <v>0.127788363353845</v>
      </c>
    </row>
    <row r="91" spans="1:5" x14ac:dyDescent="0.35">
      <c r="A91" s="1">
        <v>43840</v>
      </c>
      <c r="B91" s="1">
        <v>44001</v>
      </c>
      <c r="C91">
        <v>3300</v>
      </c>
      <c r="D91">
        <v>125.9</v>
      </c>
      <c r="E91">
        <v>0.12373074032131801</v>
      </c>
    </row>
    <row r="92" spans="1:5" x14ac:dyDescent="0.35">
      <c r="A92" s="1">
        <v>43840</v>
      </c>
      <c r="B92" s="1">
        <v>44001</v>
      </c>
      <c r="C92">
        <v>3325</v>
      </c>
      <c r="D92">
        <v>136.69999999999999</v>
      </c>
      <c r="E92">
        <v>0.120070661091291</v>
      </c>
    </row>
    <row r="93" spans="1:5" x14ac:dyDescent="0.35">
      <c r="A93" s="1">
        <v>43840</v>
      </c>
      <c r="B93" s="1">
        <v>44001</v>
      </c>
      <c r="C93">
        <v>3350</v>
      </c>
      <c r="D93">
        <v>148.75</v>
      </c>
      <c r="E93">
        <v>0.117050637776053</v>
      </c>
    </row>
    <row r="94" spans="1:5" x14ac:dyDescent="0.35">
      <c r="A94" s="1">
        <v>43840</v>
      </c>
      <c r="B94" s="1">
        <v>44001</v>
      </c>
      <c r="C94">
        <v>3375</v>
      </c>
      <c r="D94">
        <v>162.05000000000001</v>
      </c>
      <c r="E94">
        <v>0.11465038995914301</v>
      </c>
    </row>
    <row r="95" spans="1:5" x14ac:dyDescent="0.35">
      <c r="A95" s="1">
        <v>43840</v>
      </c>
      <c r="B95" s="1">
        <v>44001</v>
      </c>
      <c r="C95">
        <v>3400</v>
      </c>
      <c r="D95">
        <v>176.75</v>
      </c>
      <c r="E95">
        <v>0.113068422230292</v>
      </c>
    </row>
    <row r="96" spans="1:5" x14ac:dyDescent="0.35">
      <c r="A96" s="1">
        <v>43840</v>
      </c>
      <c r="B96" s="1">
        <v>44001</v>
      </c>
      <c r="C96">
        <v>3425</v>
      </c>
      <c r="D96">
        <v>192.8</v>
      </c>
      <c r="E96">
        <v>0.112307471404299</v>
      </c>
    </row>
    <row r="97" spans="1:5" x14ac:dyDescent="0.35">
      <c r="A97" s="1">
        <v>43840</v>
      </c>
      <c r="B97" s="1">
        <v>44001</v>
      </c>
      <c r="C97">
        <v>3450</v>
      </c>
      <c r="D97">
        <v>210.15</v>
      </c>
      <c r="E97">
        <v>0.112412243567262</v>
      </c>
    </row>
    <row r="98" spans="1:5" x14ac:dyDescent="0.35">
      <c r="A98" s="1">
        <v>43840</v>
      </c>
      <c r="B98" s="1">
        <v>44001</v>
      </c>
      <c r="C98">
        <v>3475</v>
      </c>
      <c r="D98">
        <v>229</v>
      </c>
      <c r="E98">
        <v>0.113821939311297</v>
      </c>
    </row>
    <row r="99" spans="1:5" x14ac:dyDescent="0.35">
      <c r="A99" s="1">
        <v>43840</v>
      </c>
      <c r="B99" s="1">
        <v>44001</v>
      </c>
      <c r="C99">
        <v>3500</v>
      </c>
      <c r="D99">
        <v>248.85</v>
      </c>
      <c r="E99">
        <v>0.116041921478987</v>
      </c>
    </row>
    <row r="100" spans="1:5" x14ac:dyDescent="0.35">
      <c r="A100" s="1">
        <v>43840</v>
      </c>
      <c r="B100" s="1">
        <v>44001</v>
      </c>
      <c r="C100">
        <v>3525</v>
      </c>
      <c r="D100">
        <v>270.10000000000002</v>
      </c>
      <c r="E100">
        <v>0.119876836292803</v>
      </c>
    </row>
    <row r="101" spans="1:5" x14ac:dyDescent="0.35">
      <c r="A101" s="1">
        <v>43840</v>
      </c>
      <c r="B101" s="1">
        <v>44001</v>
      </c>
      <c r="C101">
        <v>3550</v>
      </c>
      <c r="D101">
        <v>291.89999999999998</v>
      </c>
      <c r="E101">
        <v>0.124222671583504</v>
      </c>
    </row>
    <row r="102" spans="1:5" x14ac:dyDescent="0.35">
      <c r="A102" s="1">
        <v>43840</v>
      </c>
      <c r="B102" s="1">
        <v>44001</v>
      </c>
      <c r="C102">
        <v>3575</v>
      </c>
      <c r="D102">
        <v>314.35000000000002</v>
      </c>
      <c r="E102">
        <v>0.1293530564581</v>
      </c>
    </row>
    <row r="103" spans="1:5" x14ac:dyDescent="0.35">
      <c r="A103" s="1">
        <v>43840</v>
      </c>
      <c r="B103" s="1">
        <v>44001</v>
      </c>
      <c r="C103">
        <v>3600</v>
      </c>
      <c r="D103">
        <v>337.55</v>
      </c>
      <c r="E103">
        <v>0.13554885827506799</v>
      </c>
    </row>
    <row r="104" spans="1:5" x14ac:dyDescent="0.35">
      <c r="A104" s="1">
        <v>43840</v>
      </c>
      <c r="B104" s="1">
        <v>44001</v>
      </c>
      <c r="C104">
        <v>3625</v>
      </c>
      <c r="D104">
        <v>361.35</v>
      </c>
      <c r="E104">
        <v>0.14265258659619701</v>
      </c>
    </row>
    <row r="105" spans="1:5" x14ac:dyDescent="0.35">
      <c r="A105" s="1">
        <v>43840</v>
      </c>
      <c r="B105" s="1">
        <v>44001</v>
      </c>
      <c r="C105">
        <v>3650</v>
      </c>
      <c r="D105">
        <v>385.4</v>
      </c>
      <c r="E105">
        <v>0.150102600765747</v>
      </c>
    </row>
    <row r="106" spans="1:5" x14ac:dyDescent="0.35">
      <c r="A106" s="1">
        <v>43840</v>
      </c>
      <c r="B106" s="1">
        <v>44001</v>
      </c>
      <c r="C106">
        <v>3700</v>
      </c>
      <c r="D106">
        <v>433.2</v>
      </c>
      <c r="E106">
        <v>0.164242765302928</v>
      </c>
    </row>
    <row r="107" spans="1:5" x14ac:dyDescent="0.35">
      <c r="A107" s="1">
        <v>43840</v>
      </c>
      <c r="B107" s="1">
        <v>44001</v>
      </c>
      <c r="C107">
        <v>3750</v>
      </c>
      <c r="D107">
        <v>482.4</v>
      </c>
      <c r="E107">
        <v>0.180618726486209</v>
      </c>
    </row>
    <row r="108" spans="1:5" x14ac:dyDescent="0.35">
      <c r="A108" s="1">
        <v>43840</v>
      </c>
      <c r="B108" s="1">
        <v>44001</v>
      </c>
      <c r="C108">
        <v>3800</v>
      </c>
      <c r="D108">
        <v>530.70000000000005</v>
      </c>
      <c r="E108">
        <v>0.195144286737088</v>
      </c>
    </row>
    <row r="109" spans="1:5" x14ac:dyDescent="0.35">
      <c r="A109" s="1">
        <v>43840</v>
      </c>
      <c r="B109" s="1">
        <v>44001</v>
      </c>
      <c r="C109">
        <v>3900</v>
      </c>
      <c r="D109">
        <v>629.25</v>
      </c>
      <c r="E109">
        <v>0.22706335006643799</v>
      </c>
    </row>
    <row r="110" spans="1:5" x14ac:dyDescent="0.35">
      <c r="A110" s="1">
        <v>43840</v>
      </c>
      <c r="B110" s="1">
        <v>44001</v>
      </c>
      <c r="C110">
        <v>4000</v>
      </c>
      <c r="D110">
        <v>728.2</v>
      </c>
      <c r="E110">
        <v>0.25887633576477098</v>
      </c>
    </row>
    <row r="111" spans="1:5" x14ac:dyDescent="0.35">
      <c r="A111" s="1">
        <v>43840</v>
      </c>
      <c r="B111" s="1">
        <v>44001</v>
      </c>
      <c r="C111">
        <v>4100</v>
      </c>
      <c r="D111">
        <v>827.3</v>
      </c>
      <c r="E111">
        <v>0.29015972245829602</v>
      </c>
    </row>
    <row r="112" spans="1:5" x14ac:dyDescent="0.35">
      <c r="A112" s="1">
        <v>43840</v>
      </c>
      <c r="B112" s="1">
        <v>44001</v>
      </c>
      <c r="C112">
        <v>4200</v>
      </c>
      <c r="D112">
        <v>926.3</v>
      </c>
      <c r="E112">
        <v>0.32051139206683799</v>
      </c>
    </row>
  </sheetData>
  <mergeCells count="2">
    <mergeCell ref="G20:L20"/>
    <mergeCell ref="R19:V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2"/>
  <sheetViews>
    <sheetView workbookViewId="0">
      <selection activeCell="G22" sqref="G22"/>
    </sheetView>
  </sheetViews>
  <sheetFormatPr defaultRowHeight="14.5" x14ac:dyDescent="0.35"/>
  <cols>
    <col min="1" max="2" width="10.453125" bestFit="1" customWidth="1"/>
    <col min="3" max="3" width="5.36328125" bestFit="1" customWidth="1"/>
    <col min="4" max="4" width="6.81640625" bestFit="1" customWidth="1"/>
    <col min="5" max="5" width="11.81640625" bestFit="1" customWidth="1"/>
    <col min="12" max="13" width="10.453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6" x14ac:dyDescent="0.35">
      <c r="A2" s="1">
        <v>43840</v>
      </c>
      <c r="B2" s="1">
        <v>44001</v>
      </c>
      <c r="C2">
        <v>800</v>
      </c>
      <c r="D2">
        <v>0.05</v>
      </c>
      <c r="E2">
        <v>1.76744283275783</v>
      </c>
    </row>
    <row r="3" spans="1:16" ht="15" thickBot="1" x14ac:dyDescent="0.4">
      <c r="A3" s="1">
        <v>43840</v>
      </c>
      <c r="B3" s="1">
        <v>44001</v>
      </c>
      <c r="C3">
        <v>900</v>
      </c>
      <c r="D3">
        <v>0.05</v>
      </c>
      <c r="E3">
        <v>1.6225391919773899</v>
      </c>
      <c r="H3" s="12">
        <v>1000</v>
      </c>
      <c r="I3">
        <f>VLOOKUP($H3,$C$2:$E$112,2)</f>
        <v>7.4999999999999997E-2</v>
      </c>
      <c r="J3">
        <f>VLOOKUP($H3,$C$2:$E$112,3)</f>
        <v>1.4923503236161</v>
      </c>
    </row>
    <row r="4" spans="1:16" x14ac:dyDescent="0.35">
      <c r="A4" s="1">
        <v>43840</v>
      </c>
      <c r="B4" s="1">
        <v>44001</v>
      </c>
      <c r="C4">
        <v>1000</v>
      </c>
      <c r="D4">
        <v>7.4999999999999997E-2</v>
      </c>
      <c r="E4">
        <v>1.4923503236161</v>
      </c>
      <c r="H4" s="12">
        <v>1250</v>
      </c>
      <c r="I4">
        <f t="shared" ref="I4:I15" si="0">VLOOKUP($H4,$C$2:$E$112,2)</f>
        <v>0.17499999999999999</v>
      </c>
      <c r="J4">
        <f>VLOOKUP($H4,$C$2:$E$112,3)</f>
        <v>1.2148720090973799</v>
      </c>
      <c r="L4" s="13" t="s">
        <v>0</v>
      </c>
      <c r="M4" s="14" t="s">
        <v>1</v>
      </c>
      <c r="N4" s="14" t="s">
        <v>2</v>
      </c>
      <c r="O4" s="14" t="s">
        <v>3</v>
      </c>
      <c r="P4" s="14" t="s">
        <v>4</v>
      </c>
    </row>
    <row r="5" spans="1:16" x14ac:dyDescent="0.35">
      <c r="A5" s="1">
        <v>43840</v>
      </c>
      <c r="B5" s="1">
        <v>44001</v>
      </c>
      <c r="C5">
        <v>1100</v>
      </c>
      <c r="D5">
        <v>0.15</v>
      </c>
      <c r="E5">
        <v>1.37425548065639</v>
      </c>
      <c r="H5" s="12">
        <v>1500</v>
      </c>
      <c r="I5">
        <f t="shared" si="0"/>
        <v>0.375</v>
      </c>
      <c r="J5">
        <f>VLOOKUP($H5,$C$2:$E$112,3)</f>
        <v>0.98681028846693397</v>
      </c>
      <c r="L5" s="9"/>
      <c r="M5" s="9"/>
      <c r="N5" s="9"/>
      <c r="O5" s="9"/>
      <c r="P5" s="9"/>
    </row>
    <row r="6" spans="1:16" x14ac:dyDescent="0.35">
      <c r="A6" s="1">
        <v>43840</v>
      </c>
      <c r="B6" s="1">
        <v>44001</v>
      </c>
      <c r="C6">
        <v>1150</v>
      </c>
      <c r="D6">
        <v>0.125</v>
      </c>
      <c r="E6">
        <v>1.3188023674520899</v>
      </c>
      <c r="H6" s="12">
        <v>1750</v>
      </c>
      <c r="I6">
        <f t="shared" si="0"/>
        <v>0.77500000000000002</v>
      </c>
      <c r="J6">
        <f>VLOOKUP($H6,$C$2:$E$112,3)</f>
        <v>0.79358774704033497</v>
      </c>
      <c r="L6" s="15">
        <v>43840</v>
      </c>
      <c r="M6" s="15">
        <v>44001</v>
      </c>
      <c r="N6" s="12">
        <v>1000</v>
      </c>
      <c r="O6" s="16">
        <v>7.4999999999999997E-2</v>
      </c>
      <c r="P6" s="17">
        <v>1.4923503236161</v>
      </c>
    </row>
    <row r="7" spans="1:16" x14ac:dyDescent="0.35">
      <c r="A7" s="1">
        <v>43840</v>
      </c>
      <c r="B7" s="1">
        <v>44001</v>
      </c>
      <c r="C7">
        <v>1200</v>
      </c>
      <c r="D7">
        <v>0.15</v>
      </c>
      <c r="E7">
        <v>1.26579247894606</v>
      </c>
      <c r="H7" s="12">
        <v>2000</v>
      </c>
      <c r="I7">
        <f t="shared" si="0"/>
        <v>1.625</v>
      </c>
      <c r="J7">
        <f>VLOOKUP($H7,$C$2:$E$112,3)</f>
        <v>0.62678188107909105</v>
      </c>
      <c r="L7" s="15">
        <v>43840</v>
      </c>
      <c r="M7" s="15">
        <v>44001</v>
      </c>
      <c r="N7" s="12">
        <v>1250</v>
      </c>
      <c r="O7" s="16">
        <v>0.17499999999999999</v>
      </c>
      <c r="P7" s="17">
        <v>1.2148720090973799</v>
      </c>
    </row>
    <row r="8" spans="1:16" x14ac:dyDescent="0.35">
      <c r="A8" s="1">
        <v>43840</v>
      </c>
      <c r="B8" s="1">
        <v>44001</v>
      </c>
      <c r="C8">
        <v>1225</v>
      </c>
      <c r="D8">
        <v>0.17499999999999999</v>
      </c>
      <c r="E8">
        <v>1.24012507405568</v>
      </c>
      <c r="H8" s="12">
        <v>2250</v>
      </c>
      <c r="I8">
        <f t="shared" si="0"/>
        <v>4</v>
      </c>
      <c r="J8">
        <f>VLOOKUP($H8,$C$2:$E$112,3)</f>
        <v>0.48288692397523097</v>
      </c>
      <c r="L8" s="15">
        <v>43840</v>
      </c>
      <c r="M8" s="15">
        <v>44001</v>
      </c>
      <c r="N8" s="12">
        <v>1500</v>
      </c>
      <c r="O8" s="16">
        <v>0.375</v>
      </c>
      <c r="P8" s="17">
        <v>0.98681028846693397</v>
      </c>
    </row>
    <row r="9" spans="1:16" x14ac:dyDescent="0.35">
      <c r="A9" s="1">
        <v>43840</v>
      </c>
      <c r="B9" s="1">
        <v>44001</v>
      </c>
      <c r="C9">
        <v>1250</v>
      </c>
      <c r="D9">
        <v>0.17499999999999999</v>
      </c>
      <c r="E9">
        <v>1.2148720090973799</v>
      </c>
      <c r="H9" s="12">
        <v>2500</v>
      </c>
      <c r="I9">
        <f t="shared" si="0"/>
        <v>9.75</v>
      </c>
      <c r="J9">
        <f>VLOOKUP($H9,$C$2:$E$112,3)</f>
        <v>0.36105137292447598</v>
      </c>
      <c r="L9" s="15">
        <v>43840</v>
      </c>
      <c r="M9" s="15">
        <v>44001</v>
      </c>
      <c r="N9" s="12">
        <v>1750</v>
      </c>
      <c r="O9" s="16">
        <v>0.77500000000000002</v>
      </c>
      <c r="P9" s="17">
        <v>0.79358774704033497</v>
      </c>
    </row>
    <row r="10" spans="1:16" x14ac:dyDescent="0.35">
      <c r="A10" s="1">
        <v>43840</v>
      </c>
      <c r="B10" s="1">
        <v>44001</v>
      </c>
      <c r="C10">
        <v>1275</v>
      </c>
      <c r="D10">
        <v>0.17499999999999999</v>
      </c>
      <c r="E10">
        <v>1.1901001281934001</v>
      </c>
      <c r="H10" s="12">
        <v>2750</v>
      </c>
      <c r="I10">
        <f t="shared" si="0"/>
        <v>22.95</v>
      </c>
      <c r="J10">
        <f>VLOOKUP($H10,$C$2:$E$112,3)</f>
        <v>0.26332699333030302</v>
      </c>
      <c r="L10" s="15">
        <v>43840</v>
      </c>
      <c r="M10" s="15">
        <v>44001</v>
      </c>
      <c r="N10" s="12">
        <v>2000</v>
      </c>
      <c r="O10" s="16">
        <v>1.625</v>
      </c>
      <c r="P10" s="17">
        <v>0.62678188107909105</v>
      </c>
    </row>
    <row r="11" spans="1:16" x14ac:dyDescent="0.35">
      <c r="A11" s="1">
        <v>43840</v>
      </c>
      <c r="B11" s="1">
        <v>44001</v>
      </c>
      <c r="C11">
        <v>1300</v>
      </c>
      <c r="D11">
        <v>0.2</v>
      </c>
      <c r="E11">
        <v>1.1658776856556301</v>
      </c>
      <c r="H11" s="12">
        <v>3000</v>
      </c>
      <c r="I11">
        <f t="shared" si="0"/>
        <v>50.45</v>
      </c>
      <c r="J11">
        <f>VLOOKUP($H11,$C$2:$E$112,3)</f>
        <v>0.18883872745125199</v>
      </c>
      <c r="L11" s="15">
        <v>43840</v>
      </c>
      <c r="M11" s="15">
        <v>44001</v>
      </c>
      <c r="N11" s="12">
        <v>2250</v>
      </c>
      <c r="O11" s="16">
        <v>4</v>
      </c>
      <c r="P11" s="17">
        <v>0.48288692397523097</v>
      </c>
    </row>
    <row r="12" spans="1:16" x14ac:dyDescent="0.35">
      <c r="A12" s="1">
        <v>43840</v>
      </c>
      <c r="B12" s="1">
        <v>44001</v>
      </c>
      <c r="C12">
        <v>1325</v>
      </c>
      <c r="D12">
        <v>0.22500000000000001</v>
      </c>
      <c r="E12">
        <v>1.1421022162729999</v>
      </c>
      <c r="H12" s="12">
        <v>3250</v>
      </c>
      <c r="I12">
        <f t="shared" si="0"/>
        <v>107.3</v>
      </c>
      <c r="J12">
        <f>VLOOKUP($H12,$C$2:$E$112,3)</f>
        <v>0.13230609037132701</v>
      </c>
      <c r="L12" s="15">
        <v>43840</v>
      </c>
      <c r="M12" s="15">
        <v>44001</v>
      </c>
      <c r="N12" s="12">
        <v>2500</v>
      </c>
      <c r="O12" s="16">
        <v>9.75</v>
      </c>
      <c r="P12" s="17">
        <v>0.36105137292447598</v>
      </c>
    </row>
    <row r="13" spans="1:16" x14ac:dyDescent="0.35">
      <c r="A13" s="1">
        <v>43840</v>
      </c>
      <c r="B13" s="1">
        <v>44001</v>
      </c>
      <c r="C13">
        <v>1350</v>
      </c>
      <c r="D13">
        <v>0.22500000000000001</v>
      </c>
      <c r="E13">
        <v>1.11867327574058</v>
      </c>
      <c r="H13" s="12">
        <v>3500</v>
      </c>
      <c r="I13">
        <f t="shared" si="0"/>
        <v>248.85</v>
      </c>
      <c r="J13">
        <f>VLOOKUP($H13,$C$2:$E$112,3)</f>
        <v>0.116041921478987</v>
      </c>
      <c r="L13" s="15">
        <v>43840</v>
      </c>
      <c r="M13" s="15">
        <v>44001</v>
      </c>
      <c r="N13" s="12">
        <v>2750</v>
      </c>
      <c r="O13" s="16">
        <v>22.95</v>
      </c>
      <c r="P13" s="17">
        <v>0.26332699333030302</v>
      </c>
    </row>
    <row r="14" spans="1:16" x14ac:dyDescent="0.35">
      <c r="A14" s="1">
        <v>43840</v>
      </c>
      <c r="B14" s="1">
        <v>44001</v>
      </c>
      <c r="C14">
        <v>1375</v>
      </c>
      <c r="D14">
        <v>0.27500000000000002</v>
      </c>
      <c r="E14">
        <v>1.09581918516819</v>
      </c>
      <c r="H14" s="12">
        <v>3750</v>
      </c>
      <c r="I14">
        <f t="shared" si="0"/>
        <v>482.4</v>
      </c>
      <c r="J14">
        <f>VLOOKUP($H14,$C$2:$E$112,3)</f>
        <v>0.180618726486209</v>
      </c>
      <c r="L14" s="15">
        <v>43840</v>
      </c>
      <c r="M14" s="15">
        <v>44001</v>
      </c>
      <c r="N14" s="12">
        <v>3000</v>
      </c>
      <c r="O14" s="16">
        <v>50.45</v>
      </c>
      <c r="P14" s="17">
        <v>0.18883872745125199</v>
      </c>
    </row>
    <row r="15" spans="1:16" x14ac:dyDescent="0.35">
      <c r="A15" s="1">
        <v>43840</v>
      </c>
      <c r="B15" s="1">
        <v>44001</v>
      </c>
      <c r="C15">
        <v>1400</v>
      </c>
      <c r="D15">
        <v>0.27500000000000002</v>
      </c>
      <c r="E15">
        <v>1.07320654986819</v>
      </c>
      <c r="H15" s="12">
        <v>4000</v>
      </c>
      <c r="I15">
        <f t="shared" si="0"/>
        <v>728.2</v>
      </c>
      <c r="J15">
        <f>VLOOKUP($H15,$C$2:$E$112,3)</f>
        <v>0.25887633576477098</v>
      </c>
      <c r="L15" s="15">
        <v>43840</v>
      </c>
      <c r="M15" s="15">
        <v>44001</v>
      </c>
      <c r="N15" s="12">
        <v>3250</v>
      </c>
      <c r="O15" s="16">
        <v>107.3</v>
      </c>
      <c r="P15" s="17">
        <v>0.13230609037132701</v>
      </c>
    </row>
    <row r="16" spans="1:16" x14ac:dyDescent="0.35">
      <c r="A16" s="1">
        <v>43840</v>
      </c>
      <c r="B16" s="1">
        <v>44001</v>
      </c>
      <c r="C16">
        <v>1425</v>
      </c>
      <c r="D16">
        <v>0.32500000000000001</v>
      </c>
      <c r="E16">
        <v>1.0511381942623701</v>
      </c>
      <c r="L16" s="15">
        <v>43840</v>
      </c>
      <c r="M16" s="15">
        <v>44001</v>
      </c>
      <c r="N16" s="12">
        <v>3500</v>
      </c>
      <c r="O16" s="16">
        <v>248.85</v>
      </c>
      <c r="P16" s="17">
        <v>0.116041921478987</v>
      </c>
    </row>
    <row r="17" spans="1:16" x14ac:dyDescent="0.35">
      <c r="A17" s="1">
        <v>43840</v>
      </c>
      <c r="B17" s="1">
        <v>44001</v>
      </c>
      <c r="C17">
        <v>1450</v>
      </c>
      <c r="D17">
        <v>0.32500000000000001</v>
      </c>
      <c r="E17">
        <v>1.02928835058101</v>
      </c>
      <c r="L17" s="15">
        <v>43840</v>
      </c>
      <c r="M17" s="15">
        <v>44001</v>
      </c>
      <c r="N17" s="12">
        <v>3750</v>
      </c>
      <c r="O17" s="16">
        <v>482.4</v>
      </c>
      <c r="P17" s="17">
        <v>0.180618726486209</v>
      </c>
    </row>
    <row r="18" spans="1:16" x14ac:dyDescent="0.35">
      <c r="A18" s="1">
        <v>43840</v>
      </c>
      <c r="B18" s="1">
        <v>44001</v>
      </c>
      <c r="C18">
        <v>1475</v>
      </c>
      <c r="D18">
        <v>0.35</v>
      </c>
      <c r="E18">
        <v>1.00787400898636</v>
      </c>
      <c r="L18" s="15">
        <v>43840</v>
      </c>
      <c r="M18" s="15">
        <v>44001</v>
      </c>
      <c r="N18" s="12">
        <v>4000</v>
      </c>
      <c r="O18" s="16">
        <v>728.2</v>
      </c>
      <c r="P18" s="17">
        <v>0.25887633576477098</v>
      </c>
    </row>
    <row r="19" spans="1:16" ht="15" thickBot="1" x14ac:dyDescent="0.4">
      <c r="A19" s="1">
        <v>43840</v>
      </c>
      <c r="B19" s="1">
        <v>44001</v>
      </c>
      <c r="C19">
        <v>1500</v>
      </c>
      <c r="D19">
        <v>0.375</v>
      </c>
      <c r="E19">
        <v>0.98681028846693397</v>
      </c>
      <c r="L19" s="18" t="s">
        <v>16</v>
      </c>
      <c r="M19" s="18"/>
      <c r="N19" s="18"/>
      <c r="O19" s="18"/>
      <c r="P19" s="18"/>
    </row>
    <row r="20" spans="1:16" x14ac:dyDescent="0.35">
      <c r="A20" s="1">
        <v>43840</v>
      </c>
      <c r="B20" s="1">
        <v>44001</v>
      </c>
      <c r="C20">
        <v>1525</v>
      </c>
      <c r="D20">
        <v>0.42499999999999999</v>
      </c>
      <c r="E20">
        <v>0.96616182279002505</v>
      </c>
    </row>
    <row r="21" spans="1:16" x14ac:dyDescent="0.35">
      <c r="A21" s="1">
        <v>43840</v>
      </c>
      <c r="B21" s="1">
        <v>44001</v>
      </c>
      <c r="C21">
        <v>1550</v>
      </c>
      <c r="D21">
        <v>0.42499999999999999</v>
      </c>
      <c r="E21">
        <v>0.94569093819167904</v>
      </c>
    </row>
    <row r="22" spans="1:16" x14ac:dyDescent="0.35">
      <c r="A22" s="1">
        <v>43840</v>
      </c>
      <c r="B22" s="1">
        <v>44001</v>
      </c>
      <c r="C22">
        <v>1575</v>
      </c>
      <c r="D22">
        <v>0.47499999999999998</v>
      </c>
      <c r="E22">
        <v>0.92568341625154105</v>
      </c>
    </row>
    <row r="23" spans="1:16" x14ac:dyDescent="0.35">
      <c r="A23" s="1">
        <v>43840</v>
      </c>
      <c r="B23" s="1">
        <v>44001</v>
      </c>
      <c r="C23">
        <v>1600</v>
      </c>
      <c r="D23">
        <v>0.52500000000000002</v>
      </c>
      <c r="E23">
        <v>0.90598252023099801</v>
      </c>
    </row>
    <row r="24" spans="1:16" x14ac:dyDescent="0.35">
      <c r="A24" s="1">
        <v>43840</v>
      </c>
      <c r="B24" s="1">
        <v>44001</v>
      </c>
      <c r="C24">
        <v>1625</v>
      </c>
      <c r="D24">
        <v>0.57499999999999996</v>
      </c>
      <c r="E24">
        <v>0.88657907996416896</v>
      </c>
    </row>
    <row r="25" spans="1:16" x14ac:dyDescent="0.35">
      <c r="A25" s="1">
        <v>43840</v>
      </c>
      <c r="B25" s="1">
        <v>44001</v>
      </c>
      <c r="C25">
        <v>1650</v>
      </c>
      <c r="D25">
        <v>0.57499999999999996</v>
      </c>
      <c r="E25">
        <v>0.86732159514118901</v>
      </c>
    </row>
    <row r="26" spans="1:16" x14ac:dyDescent="0.35">
      <c r="A26" s="1">
        <v>43840</v>
      </c>
      <c r="B26" s="1">
        <v>44001</v>
      </c>
      <c r="C26">
        <v>1675</v>
      </c>
      <c r="D26">
        <v>0.625</v>
      </c>
      <c r="E26">
        <v>0.84848853249632605</v>
      </c>
    </row>
    <row r="27" spans="1:16" x14ac:dyDescent="0.35">
      <c r="A27" s="1">
        <v>43840</v>
      </c>
      <c r="B27" s="1">
        <v>44001</v>
      </c>
      <c r="C27">
        <v>1700</v>
      </c>
      <c r="D27">
        <v>0.67500000000000004</v>
      </c>
      <c r="E27">
        <v>0.82992452605706102</v>
      </c>
    </row>
    <row r="28" spans="1:16" x14ac:dyDescent="0.35">
      <c r="A28" s="1">
        <v>43840</v>
      </c>
      <c r="B28" s="1">
        <v>44001</v>
      </c>
      <c r="C28">
        <v>1725</v>
      </c>
      <c r="D28">
        <v>0.72499999999999998</v>
      </c>
      <c r="E28">
        <v>0.811628354707574</v>
      </c>
    </row>
    <row r="29" spans="1:16" x14ac:dyDescent="0.35">
      <c r="A29" s="1">
        <v>43840</v>
      </c>
      <c r="B29" s="1">
        <v>44001</v>
      </c>
      <c r="C29">
        <v>1750</v>
      </c>
      <c r="D29">
        <v>0.77500000000000002</v>
      </c>
      <c r="E29">
        <v>0.79358774704033497</v>
      </c>
    </row>
    <row r="30" spans="1:16" x14ac:dyDescent="0.35">
      <c r="A30" s="1">
        <v>43840</v>
      </c>
      <c r="B30" s="1">
        <v>44001</v>
      </c>
      <c r="C30">
        <v>1775</v>
      </c>
      <c r="D30">
        <v>0.82499999999999996</v>
      </c>
      <c r="E30">
        <v>0.77579696465303505</v>
      </c>
    </row>
    <row r="31" spans="1:16" x14ac:dyDescent="0.35">
      <c r="A31" s="1">
        <v>43840</v>
      </c>
      <c r="B31" s="1">
        <v>44001</v>
      </c>
      <c r="C31">
        <v>1800</v>
      </c>
      <c r="D31">
        <v>0.875</v>
      </c>
      <c r="E31">
        <v>0.75824923001836098</v>
      </c>
    </row>
    <row r="32" spans="1:16" x14ac:dyDescent="0.35">
      <c r="A32" s="1">
        <v>43840</v>
      </c>
      <c r="B32" s="1">
        <v>44001</v>
      </c>
      <c r="C32">
        <v>1825</v>
      </c>
      <c r="D32">
        <v>0.92500000000000004</v>
      </c>
      <c r="E32">
        <v>0.74093802611194903</v>
      </c>
    </row>
    <row r="33" spans="1:5" x14ac:dyDescent="0.35">
      <c r="A33" s="1">
        <v>43840</v>
      </c>
      <c r="B33" s="1">
        <v>44001</v>
      </c>
      <c r="C33">
        <v>1850</v>
      </c>
      <c r="D33">
        <v>1</v>
      </c>
      <c r="E33">
        <v>0.72392391879680595</v>
      </c>
    </row>
    <row r="34" spans="1:5" x14ac:dyDescent="0.35">
      <c r="A34" s="1">
        <v>43840</v>
      </c>
      <c r="B34" s="1">
        <v>44001</v>
      </c>
      <c r="C34">
        <v>1875</v>
      </c>
      <c r="D34">
        <v>1.075</v>
      </c>
      <c r="E34">
        <v>0.70713293799772203</v>
      </c>
    </row>
    <row r="35" spans="1:5" x14ac:dyDescent="0.35">
      <c r="A35" s="1">
        <v>43840</v>
      </c>
      <c r="B35" s="1">
        <v>44001</v>
      </c>
      <c r="C35">
        <v>1900</v>
      </c>
      <c r="D35">
        <v>1.175</v>
      </c>
      <c r="E35">
        <v>0.69062497338180295</v>
      </c>
    </row>
    <row r="36" spans="1:5" x14ac:dyDescent="0.35">
      <c r="A36" s="1">
        <v>43840</v>
      </c>
      <c r="B36" s="1">
        <v>44001</v>
      </c>
      <c r="C36">
        <v>1925</v>
      </c>
      <c r="D36">
        <v>1.2749999999999999</v>
      </c>
      <c r="E36">
        <v>0.67433073495926299</v>
      </c>
    </row>
    <row r="37" spans="1:5" x14ac:dyDescent="0.35">
      <c r="A37" s="1">
        <v>43840</v>
      </c>
      <c r="B37" s="1">
        <v>44001</v>
      </c>
      <c r="C37">
        <v>1950</v>
      </c>
      <c r="D37">
        <v>1.375</v>
      </c>
      <c r="E37">
        <v>0.65823844993534897</v>
      </c>
    </row>
    <row r="38" spans="1:5" x14ac:dyDescent="0.35">
      <c r="A38" s="1">
        <v>43840</v>
      </c>
      <c r="B38" s="1">
        <v>44001</v>
      </c>
      <c r="C38">
        <v>1975</v>
      </c>
      <c r="D38">
        <v>1.5</v>
      </c>
      <c r="E38">
        <v>0.64241271671836297</v>
      </c>
    </row>
    <row r="39" spans="1:5" x14ac:dyDescent="0.35">
      <c r="A39" s="1">
        <v>43840</v>
      </c>
      <c r="B39" s="1">
        <v>44001</v>
      </c>
      <c r="C39">
        <v>2000</v>
      </c>
      <c r="D39">
        <v>1.625</v>
      </c>
      <c r="E39">
        <v>0.62678188107909105</v>
      </c>
    </row>
    <row r="40" spans="1:5" x14ac:dyDescent="0.35">
      <c r="A40" s="1">
        <v>43840</v>
      </c>
      <c r="B40" s="1">
        <v>44001</v>
      </c>
      <c r="C40">
        <v>2025</v>
      </c>
      <c r="D40">
        <v>1.7749999999999999</v>
      </c>
      <c r="E40">
        <v>0.61140277723206304</v>
      </c>
    </row>
    <row r="41" spans="1:5" x14ac:dyDescent="0.35">
      <c r="A41" s="1">
        <v>43840</v>
      </c>
      <c r="B41" s="1">
        <v>44001</v>
      </c>
      <c r="C41">
        <v>2050</v>
      </c>
      <c r="D41">
        <v>1.925</v>
      </c>
      <c r="E41">
        <v>0.59621110033291103</v>
      </c>
    </row>
    <row r="42" spans="1:5" x14ac:dyDescent="0.35">
      <c r="A42" s="1">
        <v>43840</v>
      </c>
      <c r="B42" s="1">
        <v>44001</v>
      </c>
      <c r="C42">
        <v>2075</v>
      </c>
      <c r="D42">
        <v>2.125</v>
      </c>
      <c r="E42">
        <v>0.58132342005532001</v>
      </c>
    </row>
    <row r="43" spans="1:5" x14ac:dyDescent="0.35">
      <c r="A43" s="1">
        <v>43840</v>
      </c>
      <c r="B43" s="1">
        <v>44001</v>
      </c>
      <c r="C43">
        <v>2100</v>
      </c>
      <c r="D43">
        <v>2.3250000000000002</v>
      </c>
      <c r="E43">
        <v>0.566609434606829</v>
      </c>
    </row>
    <row r="44" spans="1:5" x14ac:dyDescent="0.35">
      <c r="A44" s="1">
        <v>43840</v>
      </c>
      <c r="B44" s="1">
        <v>44001</v>
      </c>
      <c r="C44">
        <v>2125</v>
      </c>
      <c r="D44">
        <v>2.5249999999999999</v>
      </c>
      <c r="E44">
        <v>0.55206550968272095</v>
      </c>
    </row>
    <row r="45" spans="1:5" x14ac:dyDescent="0.35">
      <c r="A45" s="1">
        <v>43840</v>
      </c>
      <c r="B45" s="1">
        <v>44001</v>
      </c>
      <c r="C45">
        <v>2150</v>
      </c>
      <c r="D45">
        <v>2.7749999999999999</v>
      </c>
      <c r="E45">
        <v>0.53781051366133503</v>
      </c>
    </row>
    <row r="46" spans="1:5" x14ac:dyDescent="0.35">
      <c r="A46" s="1">
        <v>43840</v>
      </c>
      <c r="B46" s="1">
        <v>44001</v>
      </c>
      <c r="C46">
        <v>2175</v>
      </c>
      <c r="D46">
        <v>3.0750000000000002</v>
      </c>
      <c r="E46">
        <v>0.52383714596572395</v>
      </c>
    </row>
    <row r="47" spans="1:5" x14ac:dyDescent="0.35">
      <c r="A47" s="1">
        <v>43840</v>
      </c>
      <c r="B47" s="1">
        <v>44001</v>
      </c>
      <c r="C47">
        <v>2200</v>
      </c>
      <c r="D47">
        <v>3.35</v>
      </c>
      <c r="E47">
        <v>0.50995826287326596</v>
      </c>
    </row>
    <row r="48" spans="1:5" x14ac:dyDescent="0.35">
      <c r="A48" s="1">
        <v>43840</v>
      </c>
      <c r="B48" s="1">
        <v>44001</v>
      </c>
      <c r="C48">
        <v>2225</v>
      </c>
      <c r="D48">
        <v>3.65</v>
      </c>
      <c r="E48">
        <v>0.49629130322366</v>
      </c>
    </row>
    <row r="49" spans="1:5" x14ac:dyDescent="0.35">
      <c r="A49" s="1">
        <v>43840</v>
      </c>
      <c r="B49" s="1">
        <v>44001</v>
      </c>
      <c r="C49">
        <v>2250</v>
      </c>
      <c r="D49">
        <v>4</v>
      </c>
      <c r="E49">
        <v>0.48288692397523097</v>
      </c>
    </row>
    <row r="50" spans="1:5" x14ac:dyDescent="0.35">
      <c r="A50" s="1">
        <v>43840</v>
      </c>
      <c r="B50" s="1">
        <v>44001</v>
      </c>
      <c r="C50">
        <v>2275</v>
      </c>
      <c r="D50">
        <v>4.3499999999999996</v>
      </c>
      <c r="E50">
        <v>0.46962878762424698</v>
      </c>
    </row>
    <row r="51" spans="1:5" x14ac:dyDescent="0.35">
      <c r="A51" s="1">
        <v>43840</v>
      </c>
      <c r="B51" s="1">
        <v>44001</v>
      </c>
      <c r="C51">
        <v>2300</v>
      </c>
      <c r="D51">
        <v>4.75</v>
      </c>
      <c r="E51">
        <v>0.45662606135448802</v>
      </c>
    </row>
    <row r="52" spans="1:5" x14ac:dyDescent="0.35">
      <c r="A52" s="1">
        <v>43840</v>
      </c>
      <c r="B52" s="1">
        <v>44001</v>
      </c>
      <c r="C52">
        <v>2325</v>
      </c>
      <c r="D52">
        <v>5.2</v>
      </c>
      <c r="E52">
        <v>0.44387253599334398</v>
      </c>
    </row>
    <row r="53" spans="1:5" x14ac:dyDescent="0.35">
      <c r="A53" s="1">
        <v>43840</v>
      </c>
      <c r="B53" s="1">
        <v>44001</v>
      </c>
      <c r="C53">
        <v>2350</v>
      </c>
      <c r="D53">
        <v>5.65</v>
      </c>
      <c r="E53">
        <v>0.43124847524516502</v>
      </c>
    </row>
    <row r="54" spans="1:5" x14ac:dyDescent="0.35">
      <c r="A54" s="1">
        <v>43840</v>
      </c>
      <c r="B54" s="1">
        <v>44001</v>
      </c>
      <c r="C54">
        <v>2375</v>
      </c>
      <c r="D54">
        <v>6.2</v>
      </c>
      <c r="E54">
        <v>0.41897579834404702</v>
      </c>
    </row>
    <row r="55" spans="1:5" x14ac:dyDescent="0.35">
      <c r="A55" s="1">
        <v>43840</v>
      </c>
      <c r="B55" s="1">
        <v>44001</v>
      </c>
      <c r="C55">
        <v>2400</v>
      </c>
      <c r="D55">
        <v>6.8</v>
      </c>
      <c r="E55">
        <v>0.40693346831438498</v>
      </c>
    </row>
    <row r="56" spans="1:5" x14ac:dyDescent="0.35">
      <c r="A56" s="1">
        <v>43840</v>
      </c>
      <c r="B56" s="1">
        <v>44001</v>
      </c>
      <c r="C56">
        <v>2425</v>
      </c>
      <c r="D56">
        <v>7.45</v>
      </c>
      <c r="E56">
        <v>0.39511867346698099</v>
      </c>
    </row>
    <row r="57" spans="1:5" x14ac:dyDescent="0.35">
      <c r="A57" s="1">
        <v>43840</v>
      </c>
      <c r="B57" s="1">
        <v>44001</v>
      </c>
      <c r="C57">
        <v>2450</v>
      </c>
      <c r="D57">
        <v>8.15</v>
      </c>
      <c r="E57">
        <v>0.38351835537341</v>
      </c>
    </row>
    <row r="58" spans="1:5" x14ac:dyDescent="0.35">
      <c r="A58" s="1">
        <v>43840</v>
      </c>
      <c r="B58" s="1">
        <v>44001</v>
      </c>
      <c r="C58">
        <v>2475</v>
      </c>
      <c r="D58">
        <v>8.9</v>
      </c>
      <c r="E58">
        <v>0.37212938549904301</v>
      </c>
    </row>
    <row r="59" spans="1:5" x14ac:dyDescent="0.35">
      <c r="A59" s="1">
        <v>43840</v>
      </c>
      <c r="B59" s="1">
        <v>44001</v>
      </c>
      <c r="C59">
        <v>2500</v>
      </c>
      <c r="D59">
        <v>9.75</v>
      </c>
      <c r="E59">
        <v>0.36105137292447598</v>
      </c>
    </row>
    <row r="60" spans="1:5" x14ac:dyDescent="0.35">
      <c r="A60" s="1">
        <v>43840</v>
      </c>
      <c r="B60" s="1">
        <v>44001</v>
      </c>
      <c r="C60">
        <v>2525</v>
      </c>
      <c r="D60">
        <v>10.65</v>
      </c>
      <c r="E60">
        <v>0.35016869321726402</v>
      </c>
    </row>
    <row r="61" spans="1:5" x14ac:dyDescent="0.35">
      <c r="A61" s="1">
        <v>43840</v>
      </c>
      <c r="B61" s="1">
        <v>44001</v>
      </c>
      <c r="C61">
        <v>2550</v>
      </c>
      <c r="D61">
        <v>11.55</v>
      </c>
      <c r="E61">
        <v>0.33937006371217099</v>
      </c>
    </row>
    <row r="62" spans="1:5" x14ac:dyDescent="0.35">
      <c r="A62" s="1">
        <v>43840</v>
      </c>
      <c r="B62" s="1">
        <v>44001</v>
      </c>
      <c r="C62">
        <v>2575</v>
      </c>
      <c r="D62">
        <v>12.65</v>
      </c>
      <c r="E62">
        <v>0.32906298308323101</v>
      </c>
    </row>
    <row r="63" spans="1:5" x14ac:dyDescent="0.35">
      <c r="A63" s="1">
        <v>43840</v>
      </c>
      <c r="B63" s="1">
        <v>44001</v>
      </c>
      <c r="C63">
        <v>2600</v>
      </c>
      <c r="D63">
        <v>13.8</v>
      </c>
      <c r="E63">
        <v>0.31892443575685703</v>
      </c>
    </row>
    <row r="64" spans="1:5" x14ac:dyDescent="0.35">
      <c r="A64" s="1">
        <v>43840</v>
      </c>
      <c r="B64" s="1">
        <v>44001</v>
      </c>
      <c r="C64">
        <v>2625</v>
      </c>
      <c r="D64">
        <v>15.05</v>
      </c>
      <c r="E64">
        <v>0.309043104181215</v>
      </c>
    </row>
    <row r="65" spans="1:5" x14ac:dyDescent="0.35">
      <c r="A65" s="1">
        <v>43840</v>
      </c>
      <c r="B65" s="1">
        <v>44001</v>
      </c>
      <c r="C65">
        <v>2650</v>
      </c>
      <c r="D65">
        <v>16.399999999999999</v>
      </c>
      <c r="E65">
        <v>0.29940653358302799</v>
      </c>
    </row>
    <row r="66" spans="1:5" x14ac:dyDescent="0.35">
      <c r="A66" s="1">
        <v>43840</v>
      </c>
      <c r="B66" s="1">
        <v>44001</v>
      </c>
      <c r="C66">
        <v>2675</v>
      </c>
      <c r="D66">
        <v>17.899999999999999</v>
      </c>
      <c r="E66">
        <v>0.29010011132015001</v>
      </c>
    </row>
    <row r="67" spans="1:5" x14ac:dyDescent="0.35">
      <c r="A67" s="1">
        <v>43840</v>
      </c>
      <c r="B67" s="1">
        <v>44001</v>
      </c>
      <c r="C67">
        <v>2700</v>
      </c>
      <c r="D67">
        <v>19.45</v>
      </c>
      <c r="E67">
        <v>0.280915481721984</v>
      </c>
    </row>
    <row r="68" spans="1:5" x14ac:dyDescent="0.35">
      <c r="A68" s="1">
        <v>43840</v>
      </c>
      <c r="B68" s="1">
        <v>44001</v>
      </c>
      <c r="C68">
        <v>2725</v>
      </c>
      <c r="D68">
        <v>21.1</v>
      </c>
      <c r="E68">
        <v>0.271935989368422</v>
      </c>
    </row>
    <row r="69" spans="1:5" x14ac:dyDescent="0.35">
      <c r="A69" s="1">
        <v>43840</v>
      </c>
      <c r="B69" s="1">
        <v>44001</v>
      </c>
      <c r="C69">
        <v>2750</v>
      </c>
      <c r="D69">
        <v>22.95</v>
      </c>
      <c r="E69">
        <v>0.26332699333030302</v>
      </c>
    </row>
    <row r="70" spans="1:5" x14ac:dyDescent="0.35">
      <c r="A70" s="1">
        <v>43840</v>
      </c>
      <c r="B70" s="1">
        <v>44001</v>
      </c>
      <c r="C70">
        <v>2775</v>
      </c>
      <c r="D70">
        <v>24.9</v>
      </c>
      <c r="E70">
        <v>0.25488642650869298</v>
      </c>
    </row>
    <row r="71" spans="1:5" x14ac:dyDescent="0.35">
      <c r="A71" s="1">
        <v>43840</v>
      </c>
      <c r="B71" s="1">
        <v>44001</v>
      </c>
      <c r="C71">
        <v>2800</v>
      </c>
      <c r="D71">
        <v>27</v>
      </c>
      <c r="E71">
        <v>0.24668512790184099</v>
      </c>
    </row>
    <row r="72" spans="1:5" x14ac:dyDescent="0.35">
      <c r="A72" s="1">
        <v>43840</v>
      </c>
      <c r="B72" s="1">
        <v>44001</v>
      </c>
      <c r="C72">
        <v>2825</v>
      </c>
      <c r="D72">
        <v>29.3</v>
      </c>
      <c r="E72">
        <v>0.238785834372922</v>
      </c>
    </row>
    <row r="73" spans="1:5" x14ac:dyDescent="0.35">
      <c r="A73" s="1">
        <v>43840</v>
      </c>
      <c r="B73" s="1">
        <v>44001</v>
      </c>
      <c r="C73">
        <v>2850</v>
      </c>
      <c r="D73">
        <v>31.7</v>
      </c>
      <c r="E73">
        <v>0.230996764064126</v>
      </c>
    </row>
    <row r="74" spans="1:5" x14ac:dyDescent="0.35">
      <c r="A74" s="1">
        <v>43840</v>
      </c>
      <c r="B74" s="1">
        <v>44001</v>
      </c>
      <c r="C74">
        <v>2875</v>
      </c>
      <c r="D74">
        <v>34.299999999999997</v>
      </c>
      <c r="E74">
        <v>0.22346286551747799</v>
      </c>
    </row>
    <row r="75" spans="1:5" x14ac:dyDescent="0.35">
      <c r="A75" s="1">
        <v>43840</v>
      </c>
      <c r="B75" s="1">
        <v>44001</v>
      </c>
      <c r="C75">
        <v>2900</v>
      </c>
      <c r="D75">
        <v>37.1</v>
      </c>
      <c r="E75">
        <v>0.21615826338840499</v>
      </c>
    </row>
    <row r="76" spans="1:5" x14ac:dyDescent="0.35">
      <c r="A76" s="1">
        <v>43840</v>
      </c>
      <c r="B76" s="1">
        <v>44001</v>
      </c>
      <c r="C76">
        <v>2925</v>
      </c>
      <c r="D76">
        <v>40.15</v>
      </c>
      <c r="E76">
        <v>0.20912520179720401</v>
      </c>
    </row>
    <row r="77" spans="1:5" x14ac:dyDescent="0.35">
      <c r="A77" s="1">
        <v>43840</v>
      </c>
      <c r="B77" s="1">
        <v>44001</v>
      </c>
      <c r="C77">
        <v>2950</v>
      </c>
      <c r="D77">
        <v>43.35</v>
      </c>
      <c r="E77">
        <v>0.20218427527668201</v>
      </c>
    </row>
    <row r="78" spans="1:5" x14ac:dyDescent="0.35">
      <c r="A78" s="1">
        <v>43840</v>
      </c>
      <c r="B78" s="1">
        <v>44001</v>
      </c>
      <c r="C78">
        <v>2975</v>
      </c>
      <c r="D78">
        <v>46.75</v>
      </c>
      <c r="E78">
        <v>0.195385782456899</v>
      </c>
    </row>
    <row r="79" spans="1:5" x14ac:dyDescent="0.35">
      <c r="A79" s="1">
        <v>43840</v>
      </c>
      <c r="B79" s="1">
        <v>44001</v>
      </c>
      <c r="C79">
        <v>3000</v>
      </c>
      <c r="D79">
        <v>50.45</v>
      </c>
      <c r="E79">
        <v>0.18883872745125199</v>
      </c>
    </row>
    <row r="80" spans="1:5" x14ac:dyDescent="0.35">
      <c r="A80" s="1">
        <v>43840</v>
      </c>
      <c r="B80" s="1">
        <v>44001</v>
      </c>
      <c r="C80">
        <v>3025</v>
      </c>
      <c r="D80">
        <v>54.35</v>
      </c>
      <c r="E80">
        <v>0.182370593764376</v>
      </c>
    </row>
    <row r="81" spans="1:5" x14ac:dyDescent="0.35">
      <c r="A81" s="1">
        <v>43840</v>
      </c>
      <c r="B81" s="1">
        <v>44001</v>
      </c>
      <c r="C81">
        <v>3050</v>
      </c>
      <c r="D81">
        <v>58.6</v>
      </c>
      <c r="E81">
        <v>0.176152800695872</v>
      </c>
    </row>
    <row r="82" spans="1:5" x14ac:dyDescent="0.35">
      <c r="A82" s="1">
        <v>43840</v>
      </c>
      <c r="B82" s="1">
        <v>44001</v>
      </c>
      <c r="C82">
        <v>3075</v>
      </c>
      <c r="D82">
        <v>63.15</v>
      </c>
      <c r="E82">
        <v>0.170067938761609</v>
      </c>
    </row>
    <row r="83" spans="1:5" x14ac:dyDescent="0.35">
      <c r="A83" s="1">
        <v>43840</v>
      </c>
      <c r="B83" s="1">
        <v>44001</v>
      </c>
      <c r="C83">
        <v>3100</v>
      </c>
      <c r="D83">
        <v>68.05</v>
      </c>
      <c r="E83">
        <v>0.164149290084208</v>
      </c>
    </row>
    <row r="84" spans="1:5" x14ac:dyDescent="0.35">
      <c r="A84" s="1">
        <v>43840</v>
      </c>
      <c r="B84" s="1">
        <v>44001</v>
      </c>
      <c r="C84">
        <v>3125</v>
      </c>
      <c r="D84">
        <v>73.349999999999994</v>
      </c>
      <c r="E84">
        <v>0.158410565471482</v>
      </c>
    </row>
    <row r="85" spans="1:5" x14ac:dyDescent="0.35">
      <c r="A85" s="1">
        <v>43840</v>
      </c>
      <c r="B85" s="1">
        <v>44001</v>
      </c>
      <c r="C85">
        <v>3150</v>
      </c>
      <c r="D85">
        <v>79.05</v>
      </c>
      <c r="E85">
        <v>0.15280214204109799</v>
      </c>
    </row>
    <row r="86" spans="1:5" x14ac:dyDescent="0.35">
      <c r="A86" s="1">
        <v>43840</v>
      </c>
      <c r="B86" s="1">
        <v>44001</v>
      </c>
      <c r="C86">
        <v>3175</v>
      </c>
      <c r="D86">
        <v>85.25</v>
      </c>
      <c r="E86">
        <v>0.147393767683313</v>
      </c>
    </row>
    <row r="87" spans="1:5" x14ac:dyDescent="0.35">
      <c r="A87" s="1">
        <v>43840</v>
      </c>
      <c r="B87" s="1">
        <v>44001</v>
      </c>
      <c r="C87">
        <v>3200</v>
      </c>
      <c r="D87">
        <v>91.95</v>
      </c>
      <c r="E87">
        <v>0.14212794156856801</v>
      </c>
    </row>
    <row r="88" spans="1:5" x14ac:dyDescent="0.35">
      <c r="A88" s="1">
        <v>43840</v>
      </c>
      <c r="B88" s="1">
        <v>44001</v>
      </c>
      <c r="C88">
        <v>3225</v>
      </c>
      <c r="D88">
        <v>99.25</v>
      </c>
      <c r="E88">
        <v>0.13706248213166899</v>
      </c>
    </row>
    <row r="89" spans="1:5" x14ac:dyDescent="0.35">
      <c r="A89" s="1">
        <v>43840</v>
      </c>
      <c r="B89" s="1">
        <v>44001</v>
      </c>
      <c r="C89">
        <v>3250</v>
      </c>
      <c r="D89">
        <v>107.3</v>
      </c>
      <c r="E89">
        <v>0.13230609037132701</v>
      </c>
    </row>
    <row r="90" spans="1:5" x14ac:dyDescent="0.35">
      <c r="A90" s="1">
        <v>43840</v>
      </c>
      <c r="B90" s="1">
        <v>44001</v>
      </c>
      <c r="C90">
        <v>3275</v>
      </c>
      <c r="D90">
        <v>116.1</v>
      </c>
      <c r="E90">
        <v>0.127788363353845</v>
      </c>
    </row>
    <row r="91" spans="1:5" x14ac:dyDescent="0.35">
      <c r="A91" s="1">
        <v>43840</v>
      </c>
      <c r="B91" s="1">
        <v>44001</v>
      </c>
      <c r="C91">
        <v>3300</v>
      </c>
      <c r="D91">
        <v>125.9</v>
      </c>
      <c r="E91">
        <v>0.12373074032131801</v>
      </c>
    </row>
    <row r="92" spans="1:5" x14ac:dyDescent="0.35">
      <c r="A92" s="1">
        <v>43840</v>
      </c>
      <c r="B92" s="1">
        <v>44001</v>
      </c>
      <c r="C92">
        <v>3325</v>
      </c>
      <c r="D92">
        <v>136.69999999999999</v>
      </c>
      <c r="E92">
        <v>0.120070661091291</v>
      </c>
    </row>
    <row r="93" spans="1:5" x14ac:dyDescent="0.35">
      <c r="A93" s="1">
        <v>43840</v>
      </c>
      <c r="B93" s="1">
        <v>44001</v>
      </c>
      <c r="C93">
        <v>3350</v>
      </c>
      <c r="D93">
        <v>148.75</v>
      </c>
      <c r="E93">
        <v>0.117050637776053</v>
      </c>
    </row>
    <row r="94" spans="1:5" x14ac:dyDescent="0.35">
      <c r="A94" s="1">
        <v>43840</v>
      </c>
      <c r="B94" s="1">
        <v>44001</v>
      </c>
      <c r="C94">
        <v>3375</v>
      </c>
      <c r="D94">
        <v>162.05000000000001</v>
      </c>
      <c r="E94">
        <v>0.11465038995914301</v>
      </c>
    </row>
    <row r="95" spans="1:5" x14ac:dyDescent="0.35">
      <c r="A95" s="1">
        <v>43840</v>
      </c>
      <c r="B95" s="1">
        <v>44001</v>
      </c>
      <c r="C95">
        <v>3400</v>
      </c>
      <c r="D95">
        <v>176.75</v>
      </c>
      <c r="E95">
        <v>0.113068422230292</v>
      </c>
    </row>
    <row r="96" spans="1:5" x14ac:dyDescent="0.35">
      <c r="A96" s="1">
        <v>43840</v>
      </c>
      <c r="B96" s="1">
        <v>44001</v>
      </c>
      <c r="C96">
        <v>3425</v>
      </c>
      <c r="D96">
        <v>192.8</v>
      </c>
      <c r="E96">
        <v>0.112307471404299</v>
      </c>
    </row>
    <row r="97" spans="1:5" x14ac:dyDescent="0.35">
      <c r="A97" s="1">
        <v>43840</v>
      </c>
      <c r="B97" s="1">
        <v>44001</v>
      </c>
      <c r="C97">
        <v>3450</v>
      </c>
      <c r="D97">
        <v>210.15</v>
      </c>
      <c r="E97">
        <v>0.112412243567262</v>
      </c>
    </row>
    <row r="98" spans="1:5" x14ac:dyDescent="0.35">
      <c r="A98" s="1">
        <v>43840</v>
      </c>
      <c r="B98" s="1">
        <v>44001</v>
      </c>
      <c r="C98">
        <v>3475</v>
      </c>
      <c r="D98">
        <v>229</v>
      </c>
      <c r="E98">
        <v>0.113821939311297</v>
      </c>
    </row>
    <row r="99" spans="1:5" x14ac:dyDescent="0.35">
      <c r="A99" s="1">
        <v>43840</v>
      </c>
      <c r="B99" s="1">
        <v>44001</v>
      </c>
      <c r="C99">
        <v>3500</v>
      </c>
      <c r="D99">
        <v>248.85</v>
      </c>
      <c r="E99">
        <v>0.116041921478987</v>
      </c>
    </row>
    <row r="100" spans="1:5" x14ac:dyDescent="0.35">
      <c r="A100" s="1">
        <v>43840</v>
      </c>
      <c r="B100" s="1">
        <v>44001</v>
      </c>
      <c r="C100">
        <v>3525</v>
      </c>
      <c r="D100">
        <v>270.10000000000002</v>
      </c>
      <c r="E100">
        <v>0.119876836292803</v>
      </c>
    </row>
    <row r="101" spans="1:5" x14ac:dyDescent="0.35">
      <c r="A101" s="1">
        <v>43840</v>
      </c>
      <c r="B101" s="1">
        <v>44001</v>
      </c>
      <c r="C101">
        <v>3550</v>
      </c>
      <c r="D101">
        <v>291.89999999999998</v>
      </c>
      <c r="E101">
        <v>0.124222671583504</v>
      </c>
    </row>
    <row r="102" spans="1:5" x14ac:dyDescent="0.35">
      <c r="A102" s="1">
        <v>43840</v>
      </c>
      <c r="B102" s="1">
        <v>44001</v>
      </c>
      <c r="C102">
        <v>3575</v>
      </c>
      <c r="D102">
        <v>314.35000000000002</v>
      </c>
      <c r="E102">
        <v>0.1293530564581</v>
      </c>
    </row>
    <row r="103" spans="1:5" x14ac:dyDescent="0.35">
      <c r="A103" s="1">
        <v>43840</v>
      </c>
      <c r="B103" s="1">
        <v>44001</v>
      </c>
      <c r="C103">
        <v>3600</v>
      </c>
      <c r="D103">
        <v>337.55</v>
      </c>
      <c r="E103">
        <v>0.13554885827506799</v>
      </c>
    </row>
    <row r="104" spans="1:5" x14ac:dyDescent="0.35">
      <c r="A104" s="1">
        <v>43840</v>
      </c>
      <c r="B104" s="1">
        <v>44001</v>
      </c>
      <c r="C104">
        <v>3625</v>
      </c>
      <c r="D104">
        <v>361.35</v>
      </c>
      <c r="E104">
        <v>0.14265258659619701</v>
      </c>
    </row>
    <row r="105" spans="1:5" x14ac:dyDescent="0.35">
      <c r="A105" s="1">
        <v>43840</v>
      </c>
      <c r="B105" s="1">
        <v>44001</v>
      </c>
      <c r="C105">
        <v>3650</v>
      </c>
      <c r="D105">
        <v>385.4</v>
      </c>
      <c r="E105">
        <v>0.150102600765747</v>
      </c>
    </row>
    <row r="106" spans="1:5" x14ac:dyDescent="0.35">
      <c r="A106" s="1">
        <v>43840</v>
      </c>
      <c r="B106" s="1">
        <v>44001</v>
      </c>
      <c r="C106">
        <v>3700</v>
      </c>
      <c r="D106">
        <v>433.2</v>
      </c>
      <c r="E106">
        <v>0.164242765302928</v>
      </c>
    </row>
    <row r="107" spans="1:5" x14ac:dyDescent="0.35">
      <c r="A107" s="1">
        <v>43840</v>
      </c>
      <c r="B107" s="1">
        <v>44001</v>
      </c>
      <c r="C107">
        <v>3750</v>
      </c>
      <c r="D107">
        <v>482.4</v>
      </c>
      <c r="E107">
        <v>0.180618726486209</v>
      </c>
    </row>
    <row r="108" spans="1:5" x14ac:dyDescent="0.35">
      <c r="A108" s="1">
        <v>43840</v>
      </c>
      <c r="B108" s="1">
        <v>44001</v>
      </c>
      <c r="C108">
        <v>3800</v>
      </c>
      <c r="D108">
        <v>530.70000000000005</v>
      </c>
      <c r="E108">
        <v>0.195144286737088</v>
      </c>
    </row>
    <row r="109" spans="1:5" x14ac:dyDescent="0.35">
      <c r="A109" s="1">
        <v>43840</v>
      </c>
      <c r="B109" s="1">
        <v>44001</v>
      </c>
      <c r="C109">
        <v>3900</v>
      </c>
      <c r="D109">
        <v>629.25</v>
      </c>
      <c r="E109">
        <v>0.22706335006643799</v>
      </c>
    </row>
    <row r="110" spans="1:5" x14ac:dyDescent="0.35">
      <c r="A110" s="1">
        <v>43840</v>
      </c>
      <c r="B110" s="1">
        <v>44001</v>
      </c>
      <c r="C110">
        <v>4000</v>
      </c>
      <c r="D110">
        <v>728.2</v>
      </c>
      <c r="E110">
        <v>0.25887633576477098</v>
      </c>
    </row>
    <row r="111" spans="1:5" x14ac:dyDescent="0.35">
      <c r="A111" s="1">
        <v>43840</v>
      </c>
      <c r="B111" s="1">
        <v>44001</v>
      </c>
      <c r="C111">
        <v>4100</v>
      </c>
      <c r="D111">
        <v>827.3</v>
      </c>
      <c r="E111">
        <v>0.29015972245829602</v>
      </c>
    </row>
    <row r="112" spans="1:5" x14ac:dyDescent="0.35">
      <c r="A112" s="1">
        <v>43840</v>
      </c>
      <c r="B112" s="1">
        <v>44001</v>
      </c>
      <c r="C112">
        <v>4200</v>
      </c>
      <c r="D112">
        <v>926.3</v>
      </c>
      <c r="E112">
        <v>0.32051139206683799</v>
      </c>
    </row>
  </sheetData>
  <mergeCells count="1">
    <mergeCell ref="L19:P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SPXputIV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Linqing Bian</cp:lastModifiedBy>
  <dcterms:created xsi:type="dcterms:W3CDTF">2022-04-08T23:59:56Z</dcterms:created>
  <dcterms:modified xsi:type="dcterms:W3CDTF">2022-04-09T00:12:30Z</dcterms:modified>
</cp:coreProperties>
</file>